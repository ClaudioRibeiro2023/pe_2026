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onfig" sheetId="2" state="hidden" r:id="rId2"/>
    <sheet name="Plano de Acao" sheetId="3" state="visible" r:id="rId3"/>
    <sheet name="Rastreabilida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4">
    <font>
      <name val="Calibri"/>
      <family val="2"/>
      <color theme="1"/>
      <sz val="11"/>
      <scheme val="minor"/>
    </font>
    <font>
      <b val="1"/>
    </font>
    <font>
      <name val="Calibri"/>
      <b val="1"/>
      <color rgb="001F3864"/>
      <sz val="18"/>
    </font>
    <font>
      <name val="Calibri"/>
      <i val="1"/>
      <color rgb="00888888"/>
      <sz val="10"/>
    </font>
    <font>
      <name val="Calibri"/>
      <sz val="11"/>
    </font>
    <font>
      <name val="Calibri"/>
      <b val="1"/>
      <sz val="12"/>
    </font>
    <font>
      <name val="Calibri"/>
      <color rgb="00666666"/>
      <sz val="11"/>
    </font>
    <font>
      <name val="Calibri"/>
      <b val="1"/>
      <color rgb="001F3864"/>
      <sz val="28"/>
    </font>
    <font>
      <name val="Calibri"/>
      <b val="1"/>
      <color rgb="00FF0000"/>
      <sz val="11"/>
    </font>
    <font>
      <name val="Calibri"/>
      <b val="1"/>
      <color rgb="00FF0000"/>
      <sz val="14"/>
    </font>
    <font>
      <name val="Calibri"/>
      <color rgb="00888888"/>
      <sz val="10"/>
    </font>
    <font>
      <name val="Calibri"/>
      <b val="1"/>
      <sz val="14"/>
    </font>
    <font>
      <name val="Calibri"/>
      <b val="1"/>
      <color rgb="00FFFFFF"/>
      <sz val="11"/>
    </font>
    <font>
      <name val="Calibri"/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2F5496"/>
        <bgColor rgb="002F5496"/>
      </patternFill>
    </fill>
    <fill>
      <patternFill patternType="solid">
        <fgColor rgb="007030A0"/>
        <bgColor rgb="007030A0"/>
      </patternFill>
    </fill>
    <fill>
      <patternFill patternType="solid">
        <fgColor rgb="008B5FC7"/>
        <bgColor rgb="008B5FC7"/>
      </patternFill>
    </fill>
    <fill>
      <patternFill patternType="solid">
        <fgColor rgb="00E8D5F5"/>
        <bgColor rgb="00E8D5F5"/>
      </patternFill>
    </fill>
    <fill>
      <patternFill patternType="solid">
        <fgColor rgb="001F3864"/>
        <bgColor rgb="001F3864"/>
      </patternFill>
    </fill>
  </fills>
  <borders count="3">
    <border>
      <left/>
      <right/>
      <top/>
      <bottom/>
      <diagonal/>
    </border>
    <border>
      <left style="medium">
        <color rgb="00D9D9D9"/>
      </left>
      <right style="medium">
        <color rgb="00D9D9D9"/>
      </right>
      <top style="medium">
        <color rgb="00D9D9D9"/>
      </top>
      <bottom style="medium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164" fontId="4" fillId="0" borderId="0" pivotButton="0" quotePrefix="0" xfId="0"/>
    <xf numFmtId="0" fontId="10" fillId="0" borderId="0" pivotButton="0" quotePrefix="0" xfId="0"/>
    <xf numFmtId="0" fontId="1" fillId="0" borderId="0" pivotButton="0" quotePrefix="0" xfId="0"/>
    <xf numFmtId="0" fontId="11" fillId="0" borderId="0" applyAlignment="1" pivotButton="0" quotePrefix="0" xfId="0">
      <alignment horizontal="left" vertical="center"/>
    </xf>
    <xf numFmtId="0" fontId="12" fillId="3" borderId="2" applyAlignment="1" pivotButton="0" quotePrefix="0" xfId="0">
      <alignment horizontal="center" vertical="center" wrapText="1"/>
    </xf>
    <xf numFmtId="0" fontId="1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2" fillId="5" borderId="0" applyAlignment="1" pivotButton="0" quotePrefix="0" xfId="0">
      <alignment horizontal="left" vertical="center"/>
    </xf>
    <xf numFmtId="0" fontId="0" fillId="5" borderId="0" pivotButton="0" quotePrefix="0" xfId="0"/>
    <xf numFmtId="0" fontId="4" fillId="6" borderId="2" applyAlignment="1" pivotButton="0" quotePrefix="0" xfId="0">
      <alignment vertical="center" wrapText="1"/>
    </xf>
    <xf numFmtId="0" fontId="4" fillId="6" borderId="2" applyAlignment="1" pivotButton="0" quotePrefix="0" xfId="0">
      <alignment horizontal="center" vertical="center" wrapText="1"/>
    </xf>
    <xf numFmtId="0" fontId="12" fillId="7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4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dxfs count="8">
    <dxf>
      <fill>
        <patternFill patternType="solid">
          <fgColor rgb="00F2F2F2"/>
          <bgColor rgb="00F2F2F2"/>
        </patternFill>
      </fill>
    </dxf>
    <dxf>
      <fill>
        <patternFill patternType="solid">
          <fgColor rgb="00DAEEF3"/>
          <bgColor rgb="00DAEEF3"/>
        </patternFill>
      </fill>
    </dxf>
    <dxf>
      <fill>
        <patternFill patternType="solid">
          <fgColor rgb="00FCD5D5"/>
          <bgColor rgb="00FCD5D5"/>
        </patternFill>
      </fill>
    </dxf>
    <dxf>
      <fill>
        <patternFill patternType="solid">
          <fgColor rgb="00E2EFDA"/>
          <bgColor rgb="00E2EFDA"/>
        </patternFill>
      </fill>
    </dxf>
    <dxf>
      <fill>
        <patternFill patternType="solid">
          <fgColor rgb="00D9D9D9"/>
          <bgColor rgb="00D9D9D9"/>
        </patternFill>
      </fill>
    </dxf>
    <dxf>
      <font>
        <name val="Calibri"/>
        <b val="1"/>
        <color rgb="00FFFFFF"/>
        <sz val="11"/>
      </font>
      <fill>
        <patternFill patternType="solid">
          <fgColor rgb="00FF6B6B"/>
          <bgColor rgb="00FF6B6B"/>
        </patternFill>
      </fill>
    </dxf>
    <dxf>
      <font>
        <name val="Calibri"/>
        <b val="1"/>
        <color rgb="00FFFFFF"/>
        <sz val="11"/>
      </font>
      <fill>
        <patternFill patternType="solid">
          <fgColor rgb="00FFA94D"/>
          <bgColor rgb="00FFA94D"/>
        </patternFill>
      </fill>
    </dxf>
    <dxf>
      <font>
        <name val="Calibri"/>
        <b val="1"/>
        <color rgb="00333333"/>
        <sz val="11"/>
      </font>
      <fill>
        <patternFill patternType="solid">
          <fgColor rgb="00FFD43B"/>
          <bgColor rgb="00FFD43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40" customHeight="1">
      <c r="A1" s="1" t="inlineStr">
        <is>
          <t>PE2026 - Plano de Acao: P&amp;D / Produto / Dados</t>
        </is>
      </c>
    </row>
    <row r="2">
      <c r="A2" s="2" t="inlineStr">
        <is>
          <t>Confidencial - Uso interno da Direcao | Mar/2026</t>
        </is>
      </c>
    </row>
    <row r="3" ht="30" customHeight="1">
      <c r="A3" s="3" t="inlineStr">
        <is>
          <t>Mandato: Transformar tecnologia, dados e produto em vantagem defensavel via Direcao Executiva + consultorias especializadas.</t>
        </is>
      </c>
    </row>
    <row r="4">
      <c r="A4" s="4" t="inlineStr">
        <is>
          <t>OKRs: P4 (primario)  |  Envelope: R$ 801K + R$ 300K (IA)</t>
        </is>
      </c>
    </row>
    <row r="6" ht="20" customHeight="1">
      <c r="A6" s="5" t="inlineStr">
        <is>
          <t>TOTAL ACOES</t>
        </is>
      </c>
      <c r="B6" s="6" t="n"/>
      <c r="C6" s="5" t="inlineStr">
        <is>
          <t>EM ANDAMENTO</t>
        </is>
      </c>
      <c r="D6" s="6" t="n"/>
      <c r="E6" s="5" t="inlineStr">
        <is>
          <t>BLOQUEADAS</t>
        </is>
      </c>
      <c r="F6" s="6" t="n"/>
      <c r="G6" s="5" t="inlineStr">
        <is>
          <t>CONCLUIDAS</t>
        </is>
      </c>
      <c r="H6" s="6" t="n"/>
    </row>
    <row r="7" ht="45" customHeight="1">
      <c r="A7" s="7">
        <f>COUNTA('Plano de Acao'!A7:A200)-COUNTBLANK('Plano de Acao'!A7:A200)</f>
        <v/>
      </c>
      <c r="B7" s="6" t="n"/>
      <c r="C7" s="7">
        <f>COUNTIF('Plano de Acao'!N:N,"EM ANDAMENTO")</f>
        <v/>
      </c>
      <c r="D7" s="6" t="n"/>
      <c r="E7" s="7">
        <f>COUNTIF('Plano de Acao'!N:N,"BLOQUEADA")</f>
        <v/>
      </c>
      <c r="F7" s="6" t="n"/>
      <c r="G7" s="7">
        <f>COUNTIF('Plano de Acao'!N:N,"CONCLUIDA")</f>
        <v/>
      </c>
      <c r="H7" s="6" t="n"/>
    </row>
    <row r="9">
      <c r="A9" s="8" t="inlineStr">
        <is>
          <t>ACOES P0 ABERTAS:</t>
        </is>
      </c>
      <c r="C9" s="9">
        <f>COUNTIFS('Plano de Acao'!G:G,"P0",'Plano de Acao'!N:N,"&lt;&gt;CONCLUIDA",'Plano de Acao'!N:N,"&lt;&gt;CANCELADA")</f>
        <v/>
      </c>
    </row>
    <row r="11">
      <c r="A11" s="4" t="inlineStr">
        <is>
          <t>PROGRESSO POR PILAR</t>
        </is>
      </c>
    </row>
    <row r="12">
      <c r="A12" s="3" t="inlineStr">
        <is>
          <t>P1 - Governanca, Separacao Aero x TD e Padrao</t>
        </is>
      </c>
      <c r="E12" s="10">
        <f>IFERROR(COUNTIFS('Plano de Acao'!B:B,"P1",'Plano de Acao'!N:N,"CONCLUIDA")/COUNTIF('Plano de Acao'!B:B,"P1")*100,0)</f>
        <v/>
      </c>
      <c r="F12" s="11">
        <f>COUNTIF('Plano de Acao'!B:B,"P1")</f>
        <v/>
      </c>
    </row>
    <row r="13">
      <c r="A13" s="3" t="inlineStr">
        <is>
          <t>P2 - Crescimento, Expansao e Diversificacao</t>
        </is>
      </c>
      <c r="E13" s="10">
        <f>IFERROR(COUNTIFS('Plano de Acao'!B:B,"P2",'Plano de Acao'!N:N,"CONCLUIDA")/COUNTIF('Plano de Acao'!B:B,"P2")*100,0)</f>
        <v/>
      </c>
      <c r="F13" s="11">
        <f>COUNTIF('Plano de Acao'!B:B,"P2")</f>
        <v/>
      </c>
    </row>
    <row r="14">
      <c r="A14" s="3" t="inlineStr">
        <is>
          <t>P3 - Excelencia Operacional e Escala com Marg</t>
        </is>
      </c>
      <c r="E14" s="10">
        <f>IFERROR(COUNTIFS('Plano de Acao'!B:B,"P3",'Plano de Acao'!N:N,"CONCLUIDA")/COUNTIF('Plano de Acao'!B:B,"P3")*100,0)</f>
        <v/>
      </c>
      <c r="F14" s="11">
        <f>COUNTIF('Plano de Acao'!B:B,"P3")</f>
        <v/>
      </c>
    </row>
    <row r="15">
      <c r="A15" s="3" t="inlineStr">
        <is>
          <t>P4 - Produto, Dados e IA como Vantagem Defens</t>
        </is>
      </c>
      <c r="E15" s="10">
        <f>IFERROR(COUNTIFS('Plano de Acao'!B:B,"P4",'Plano de Acao'!N:N,"CONCLUIDA")/COUNTIF('Plano de Acao'!B:B,"P4")*100,0)</f>
        <v/>
      </c>
      <c r="F15" s="11">
        <f>COUNTIF('Plano de Acao'!B:B,"P4")</f>
        <v/>
      </c>
    </row>
    <row r="16">
      <c r="A16" s="3" t="inlineStr">
        <is>
          <t>P5 - Pessoas, Lideranca e Capacidade Intelect</t>
        </is>
      </c>
      <c r="E16" s="10">
        <f>IFERROR(COUNTIFS('Plano de Acao'!B:B,"P5",'Plano de Acao'!N:N,"CONCLUIDA")/COUNTIF('Plano de Acao'!B:B,"P5")*100,0)</f>
        <v/>
      </c>
      <c r="F16" s="11">
        <f>COUNTIF('Plano de Acao'!B:B,"P5")</f>
        <v/>
      </c>
    </row>
    <row r="18">
      <c r="A18" s="2" t="inlineStr">
        <is>
          <t>P0 = Critico 90 dias (vermelho) | P1 = Estrategico do ano (laranja) | P2 = Melhoria (amarelo)</t>
        </is>
      </c>
    </row>
  </sheetData>
  <mergeCells count="14">
    <mergeCell ref="A18:H18"/>
    <mergeCell ref="A4:H4"/>
    <mergeCell ref="A3:H3"/>
    <mergeCell ref="E6:F6"/>
    <mergeCell ref="C6:D6"/>
    <mergeCell ref="C7:D7"/>
    <mergeCell ref="A7:B7"/>
    <mergeCell ref="G7:H7"/>
    <mergeCell ref="E7:F7"/>
    <mergeCell ref="A2:H2"/>
    <mergeCell ref="G6:H6"/>
    <mergeCell ref="A1:H1"/>
    <mergeCell ref="A9:B9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Status</t>
        </is>
      </c>
      <c r="B1" s="12" t="inlineStr">
        <is>
          <t>Tipo</t>
        </is>
      </c>
      <c r="C1" s="12" t="inlineStr">
        <is>
          <t>Prioridade</t>
        </is>
      </c>
      <c r="D1" s="12" t="inlineStr">
        <is>
          <t>Motor</t>
        </is>
      </c>
      <c r="E1" s="12" t="inlineStr">
        <is>
          <t>Pilar</t>
        </is>
      </c>
      <c r="F1" s="12" t="inlineStr">
        <is>
          <t>Subpilar</t>
        </is>
      </c>
    </row>
    <row r="2">
      <c r="A2" t="inlineStr">
        <is>
          <t>PLANEJADA</t>
        </is>
      </c>
      <c r="B2" t="inlineStr">
        <is>
          <t>ENT</t>
        </is>
      </c>
      <c r="C2" t="inlineStr">
        <is>
          <t>P0</t>
        </is>
      </c>
      <c r="D2" t="inlineStr">
        <is>
          <t>M1 - Monetizacao</t>
        </is>
      </c>
      <c r="E2" t="inlineStr">
        <is>
          <t>P1</t>
        </is>
      </c>
      <c r="F2" t="inlineStr">
        <is>
          <t>P1.S1</t>
        </is>
      </c>
    </row>
    <row r="3">
      <c r="A3" t="inlineStr">
        <is>
          <t>EM ANDAMENTO</t>
        </is>
      </c>
      <c r="B3" t="inlineStr">
        <is>
          <t>MET</t>
        </is>
      </c>
      <c r="C3" t="inlineStr">
        <is>
          <t>P1</t>
        </is>
      </c>
      <c r="D3" t="inlineStr">
        <is>
          <t>M2 - Governanca</t>
        </is>
      </c>
      <c r="E3" t="inlineStr">
        <is>
          <t>P2</t>
        </is>
      </c>
      <c r="F3" t="inlineStr">
        <is>
          <t>P1.S2</t>
        </is>
      </c>
    </row>
    <row r="4">
      <c r="A4" t="inlineStr">
        <is>
          <t>BLOQUEADA</t>
        </is>
      </c>
      <c r="B4" t="inlineStr">
        <is>
          <t>SIS</t>
        </is>
      </c>
      <c r="C4" t="inlineStr">
        <is>
          <t>P2</t>
        </is>
      </c>
      <c r="D4" t="inlineStr">
        <is>
          <t>M3 - Escala</t>
        </is>
      </c>
      <c r="E4" t="inlineStr">
        <is>
          <t>P3</t>
        </is>
      </c>
      <c r="F4" t="inlineStr">
        <is>
          <t>P1.S3</t>
        </is>
      </c>
    </row>
    <row r="5">
      <c r="A5" t="inlineStr">
        <is>
          <t>CONCLUIDA</t>
        </is>
      </c>
      <c r="B5" t="inlineStr">
        <is>
          <t>ORG</t>
        </is>
      </c>
      <c r="D5" t="inlineStr">
        <is>
          <t>M4 - Produto/IA</t>
        </is>
      </c>
      <c r="E5" t="inlineStr">
        <is>
          <t>P4</t>
        </is>
      </c>
      <c r="F5" t="inlineStr">
        <is>
          <t>P1.S4</t>
        </is>
      </c>
    </row>
    <row r="6">
      <c r="A6" t="inlineStr">
        <is>
          <t>CANCELADA</t>
        </is>
      </c>
      <c r="B6" t="inlineStr">
        <is>
          <t>COM</t>
        </is>
      </c>
      <c r="D6" t="inlineStr">
        <is>
          <t>M5 - Pessoas</t>
        </is>
      </c>
      <c r="E6" t="inlineStr">
        <is>
          <t>P5</t>
        </is>
      </c>
      <c r="F6" t="inlineStr">
        <is>
          <t>P2.S1</t>
        </is>
      </c>
    </row>
    <row r="7">
      <c r="F7" t="inlineStr">
        <is>
          <t>P2.S2</t>
        </is>
      </c>
    </row>
    <row r="8">
      <c r="F8" t="inlineStr">
        <is>
          <t>P2.S3</t>
        </is>
      </c>
    </row>
    <row r="9">
      <c r="F9" t="inlineStr">
        <is>
          <t>P2.S4</t>
        </is>
      </c>
    </row>
    <row r="10">
      <c r="F10" t="inlineStr">
        <is>
          <t>P3.S1</t>
        </is>
      </c>
    </row>
    <row r="11">
      <c r="F11" t="inlineStr">
        <is>
          <t>P3.S2</t>
        </is>
      </c>
    </row>
    <row r="12">
      <c r="F12" t="inlineStr">
        <is>
          <t>P3.S3</t>
        </is>
      </c>
    </row>
    <row r="13">
      <c r="F13" t="inlineStr">
        <is>
          <t>P3.S4</t>
        </is>
      </c>
    </row>
    <row r="14">
      <c r="F14" t="inlineStr">
        <is>
          <t>P4.S1</t>
        </is>
      </c>
    </row>
    <row r="15">
      <c r="F15" t="inlineStr">
        <is>
          <t>P4.S2</t>
        </is>
      </c>
    </row>
    <row r="16">
      <c r="F16" t="inlineStr">
        <is>
          <t>P4.S3</t>
        </is>
      </c>
    </row>
    <row r="17">
      <c r="F17" t="inlineStr">
        <is>
          <t>P4.S4</t>
        </is>
      </c>
    </row>
    <row r="18">
      <c r="F18" t="inlineStr">
        <is>
          <t>P5.S1</t>
        </is>
      </c>
    </row>
    <row r="19">
      <c r="F19" t="inlineStr">
        <is>
          <t>P5.S2</t>
        </is>
      </c>
    </row>
    <row r="20">
      <c r="F20" t="inlineStr">
        <is>
          <t>P5.S3</t>
        </is>
      </c>
    </row>
    <row r="21">
      <c r="F21" t="inlineStr">
        <is>
          <t>P5.S4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8" customWidth="1" min="4" max="4"/>
    <col width="50" customWidth="1" min="5" max="5"/>
    <col width="8" customWidth="1" min="6" max="6"/>
    <col width="12" customWidth="1" min="7" max="7"/>
    <col width="10" customWidth="1" min="8" max="8"/>
    <col width="14" customWidth="1" min="9" max="9"/>
    <col width="22" customWidth="1" min="10" max="10"/>
    <col width="22" customWidth="1" min="11" max="11"/>
    <col width="16" customWidth="1" min="12" max="12"/>
    <col width="18" customWidth="1" min="13" max="13"/>
    <col width="16" customWidth="1" min="14" max="14"/>
    <col width="12" customWidth="1" min="15" max="15"/>
    <col width="22" customWidth="1" min="16" max="16"/>
    <col width="40" customWidth="1" min="17" max="17"/>
  </cols>
  <sheetData>
    <row r="1">
      <c r="A1" s="13" t="inlineStr">
        <is>
          <t>PE2026 - Plano de Acao: P&amp;D / Produto / Dados (11-C)</t>
        </is>
      </c>
    </row>
    <row r="2">
      <c r="A2" s="3" t="inlineStr">
        <is>
          <t>Mandato: Transformar tecnologia, dados e produto em vantagem defensavel via Direcao Executiva + consultorias especializadas.</t>
        </is>
      </c>
    </row>
    <row r="3">
      <c r="A3" s="3" t="inlineStr">
        <is>
          <t>OKRs: P4 (primario)  |  Envelope: R$ 801K + R$ 300K (IA)  |  Versao 1.0 - Mar/2026</t>
        </is>
      </c>
    </row>
    <row r="4">
      <c r="A4" s="2" t="inlineStr">
        <is>
          <t>Legenda: P0 = Critico 90 dias | P1 = Estrategico do ano | P2 = Melhoria | Status: preencha apenas Status, Progresso e Observacoes</t>
        </is>
      </c>
    </row>
    <row r="6">
      <c r="A6" s="14" t="inlineStr">
        <is>
          <t>Codigo</t>
        </is>
      </c>
      <c r="B6" s="14" t="inlineStr">
        <is>
          <t>Pilar</t>
        </is>
      </c>
      <c r="C6" s="14" t="inlineStr">
        <is>
          <t>Subpilar</t>
        </is>
      </c>
      <c r="D6" s="14" t="inlineStr">
        <is>
          <t>Motor</t>
        </is>
      </c>
      <c r="E6" s="14" t="inlineStr">
        <is>
          <t>Titulo da Acao</t>
        </is>
      </c>
      <c r="F6" s="14" t="inlineStr">
        <is>
          <t>Tipo</t>
        </is>
      </c>
      <c r="G6" s="14" t="inlineStr">
        <is>
          <t>Prioridade</t>
        </is>
      </c>
      <c r="H6" s="14" t="inlineStr">
        <is>
          <t>OKR</t>
        </is>
      </c>
      <c r="I6" s="14" t="inlineStr">
        <is>
          <t>KR Principal</t>
        </is>
      </c>
      <c r="J6" s="14" t="inlineStr">
        <is>
          <t>Responsavel</t>
        </is>
      </c>
      <c r="K6" s="14" t="inlineStr">
        <is>
          <t>Patrocinador</t>
        </is>
      </c>
      <c r="L6" s="14" t="inlineStr">
        <is>
          <t>Prazo</t>
        </is>
      </c>
      <c r="M6" s="14" t="inlineStr">
        <is>
          <t>Custo (R$)</t>
        </is>
      </c>
      <c r="N6" s="14" t="inlineStr">
        <is>
          <t>Status</t>
        </is>
      </c>
      <c r="O6" s="14" t="inlineStr">
        <is>
          <t>Progresso %</t>
        </is>
      </c>
      <c r="P6" s="14" t="inlineStr">
        <is>
          <t>Evidencia (EVID-*)</t>
        </is>
      </c>
      <c r="Q6" s="14" t="inlineStr">
        <is>
          <t>Observacoes</t>
        </is>
      </c>
    </row>
    <row r="7">
      <c r="A7" s="15" t="inlineStr">
        <is>
          <t>P4 - Produto, Dados e IA como Vantagem Defensavel</t>
        </is>
      </c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</row>
    <row r="8">
      <c r="A8" s="17" t="inlineStr">
        <is>
          <t xml:space="preserve">  P4.S1 - Produto TD: evolucao, pacote de valor e retencao</t>
        </is>
      </c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</row>
    <row r="9">
      <c r="A9" s="19" t="inlineStr">
        <is>
          <t>INIT-PD-253</t>
        </is>
      </c>
      <c r="B9" s="20" t="inlineStr">
        <is>
          <t>P4</t>
        </is>
      </c>
      <c r="C9" s="20" t="inlineStr">
        <is>
          <t>P4.S1</t>
        </is>
      </c>
      <c r="D9" s="19" t="inlineStr">
        <is>
          <t>M4 - Produto/IA</t>
        </is>
      </c>
      <c r="E9" s="19" t="inlineStr">
        <is>
          <t>Baseline de uso do produto Techdengue (metricas adocao)</t>
        </is>
      </c>
      <c r="F9" s="20" t="inlineStr">
        <is>
          <t>SIS</t>
        </is>
      </c>
      <c r="G9" s="20" t="inlineStr">
        <is>
          <t>P0</t>
        </is>
      </c>
      <c r="H9" s="20" t="inlineStr">
        <is>
          <t>OKR-P4</t>
        </is>
      </c>
      <c r="I9" s="19" t="inlineStr">
        <is>
          <t>P4.4</t>
        </is>
      </c>
      <c r="J9" s="19" t="inlineStr">
        <is>
          <t>Direcao + Consultoria</t>
        </is>
      </c>
      <c r="K9" s="19" t="inlineStr">
        <is>
          <t>Direcao Executiva</t>
        </is>
      </c>
      <c r="L9" s="19" t="inlineStr">
        <is>
          <t>Abr/26</t>
        </is>
      </c>
      <c r="M9" s="19" t="inlineStr">
        <is>
          <t>R$ 10-15K</t>
        </is>
      </c>
      <c r="N9" s="20" t="inlineStr">
        <is>
          <t>PLANEJADA</t>
        </is>
      </c>
      <c r="O9" s="20" t="n">
        <v>0</v>
      </c>
      <c r="P9" s="19" t="inlineStr">
        <is>
          <t>EVID-PD-253</t>
        </is>
      </c>
      <c r="Q9" s="19" t="inlineStr"/>
    </row>
    <row r="10">
      <c r="A10" s="19" t="inlineStr">
        <is>
          <t>INIT-020</t>
        </is>
      </c>
      <c r="B10" s="20" t="inlineStr">
        <is>
          <t>P4</t>
        </is>
      </c>
      <c r="C10" s="20" t="inlineStr">
        <is>
          <t>P4.S1</t>
        </is>
      </c>
      <c r="D10" s="19" t="inlineStr">
        <is>
          <t>M4 - Produto/IA</t>
        </is>
      </c>
      <c r="E10" s="19" t="inlineStr">
        <is>
          <t>Baseline de uso do produto + melhoria &gt;= 15%</t>
        </is>
      </c>
      <c r="F10" s="20" t="inlineStr">
        <is>
          <t>SIS</t>
        </is>
      </c>
      <c r="G10" s="20" t="inlineStr">
        <is>
          <t>P1</t>
        </is>
      </c>
      <c r="H10" s="20" t="inlineStr">
        <is>
          <t>OKR-P4</t>
        </is>
      </c>
      <c r="I10" s="19" t="inlineStr">
        <is>
          <t>P4.4</t>
        </is>
      </c>
      <c r="J10" s="19" t="inlineStr">
        <is>
          <t>Direcao + Consultoria</t>
        </is>
      </c>
      <c r="K10" s="19" t="inlineStr">
        <is>
          <t>Direcao Executiva</t>
        </is>
      </c>
      <c r="L10" s="19" t="inlineStr">
        <is>
          <t>Abr-Dez/26</t>
        </is>
      </c>
      <c r="M10" s="19" t="inlineStr">
        <is>
          <t>R$ 30-50K</t>
        </is>
      </c>
      <c r="N10" s="20" t="inlineStr">
        <is>
          <t>PLANEJADA</t>
        </is>
      </c>
      <c r="O10" s="20" t="n">
        <v>0</v>
      </c>
      <c r="P10" s="19" t="inlineStr">
        <is>
          <t>EVID-2026-020</t>
        </is>
      </c>
      <c r="Q10" s="19" t="inlineStr"/>
    </row>
    <row r="11">
      <c r="A11" s="19" t="inlineStr">
        <is>
          <t>INIT-PD-254</t>
        </is>
      </c>
      <c r="B11" s="20" t="inlineStr">
        <is>
          <t>P4</t>
        </is>
      </c>
      <c r="C11" s="20" t="inlineStr">
        <is>
          <t>P4.S1</t>
        </is>
      </c>
      <c r="D11" s="19" t="inlineStr">
        <is>
          <t>M4 - Produto/IA</t>
        </is>
      </c>
      <c r="E11" s="19" t="inlineStr">
        <is>
          <t>Roadmap de produto 2026 com prioridades definidas</t>
        </is>
      </c>
      <c r="F11" s="20" t="inlineStr">
        <is>
          <t>MET</t>
        </is>
      </c>
      <c r="G11" s="20" t="inlineStr">
        <is>
          <t>P1</t>
        </is>
      </c>
      <c r="H11" s="20" t="inlineStr">
        <is>
          <t>OKR-P4</t>
        </is>
      </c>
      <c r="I11" s="19" t="inlineStr">
        <is>
          <t>P4.4</t>
        </is>
      </c>
      <c r="J11" s="19" t="inlineStr">
        <is>
          <t>Direcao + Consultoria</t>
        </is>
      </c>
      <c r="K11" s="19" t="inlineStr">
        <is>
          <t>Direcao Executiva</t>
        </is>
      </c>
      <c r="L11" s="19" t="inlineStr">
        <is>
          <t>Abr/26</t>
        </is>
      </c>
      <c r="M11" s="19" t="inlineStr">
        <is>
          <t>R$ 5-10K</t>
        </is>
      </c>
      <c r="N11" s="20" t="inlineStr">
        <is>
          <t>PLANEJADA</t>
        </is>
      </c>
      <c r="O11" s="20" t="n">
        <v>0</v>
      </c>
      <c r="P11" s="19" t="inlineStr">
        <is>
          <t>EVID-PD-254</t>
        </is>
      </c>
      <c r="Q11" s="19" t="inlineStr"/>
    </row>
    <row r="12">
      <c r="A12" s="17" t="inlineStr">
        <is>
          <t xml:space="preserve">  P4.S2 - Dados como evidencia (prova de valor)</t>
        </is>
      </c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</row>
    <row r="13">
      <c r="A13" s="19" t="inlineStr">
        <is>
          <t>INIT-010</t>
        </is>
      </c>
      <c r="B13" s="20" t="inlineStr">
        <is>
          <t>P4</t>
        </is>
      </c>
      <c r="C13" s="20" t="inlineStr">
        <is>
          <t>P4.S2</t>
        </is>
      </c>
      <c r="D13" s="19" t="inlineStr">
        <is>
          <t>M4 - Produto/IA</t>
        </is>
      </c>
      <c r="E13" s="19" t="inlineStr">
        <is>
          <t>Padronizar relatorio executivo de evidencia (v1.0)</t>
        </is>
      </c>
      <c r="F13" s="20" t="inlineStr">
        <is>
          <t>SIS</t>
        </is>
      </c>
      <c r="G13" s="20" t="inlineStr">
        <is>
          <t>P0</t>
        </is>
      </c>
      <c r="H13" s="20" t="inlineStr">
        <is>
          <t>OKR-P4</t>
        </is>
      </c>
      <c r="I13" s="19" t="inlineStr">
        <is>
          <t>P4.2</t>
        </is>
      </c>
      <c r="J13" s="19" t="inlineStr">
        <is>
          <t>Direcao + Consultoria</t>
        </is>
      </c>
      <c r="K13" s="19" t="inlineStr">
        <is>
          <t>Direcao Executiva</t>
        </is>
      </c>
      <c r="L13" s="19" t="inlineStr">
        <is>
          <t>Mar/26</t>
        </is>
      </c>
      <c r="M13" s="19" t="inlineStr">
        <is>
          <t>R$ 15-25K</t>
        </is>
      </c>
      <c r="N13" s="20" t="inlineStr">
        <is>
          <t>PLANEJADA</t>
        </is>
      </c>
      <c r="O13" s="20" t="n">
        <v>0</v>
      </c>
      <c r="P13" s="19" t="inlineStr">
        <is>
          <t>EVID-2026-010</t>
        </is>
      </c>
      <c r="Q13" s="19" t="inlineStr"/>
    </row>
    <row r="14">
      <c r="A14" s="19" t="inlineStr">
        <is>
          <t>INIT-PD-255</t>
        </is>
      </c>
      <c r="B14" s="20" t="inlineStr">
        <is>
          <t>P4</t>
        </is>
      </c>
      <c r="C14" s="20" t="inlineStr">
        <is>
          <t>P4.S2</t>
        </is>
      </c>
      <c r="D14" s="19" t="inlineStr">
        <is>
          <t>M4 - Produto/IA</t>
        </is>
      </c>
      <c r="E14" s="19" t="inlineStr">
        <is>
          <t>Automacao de relatorio de prova de valor (v2.0)</t>
        </is>
      </c>
      <c r="F14" s="20" t="inlineStr">
        <is>
          <t>SIS</t>
        </is>
      </c>
      <c r="G14" s="20" t="inlineStr">
        <is>
          <t>P1</t>
        </is>
      </c>
      <c r="H14" s="20" t="inlineStr">
        <is>
          <t>OKR-P4</t>
        </is>
      </c>
      <c r="I14" s="19" t="inlineStr">
        <is>
          <t>P4.2</t>
        </is>
      </c>
      <c r="J14" s="19" t="inlineStr">
        <is>
          <t>Direcao + Consultoria</t>
        </is>
      </c>
      <c r="K14" s="19" t="inlineStr">
        <is>
          <t>Direcao Executiva</t>
        </is>
      </c>
      <c r="L14" s="19" t="inlineStr">
        <is>
          <t>Mai-Set/26</t>
        </is>
      </c>
      <c r="M14" s="19" t="inlineStr">
        <is>
          <t>R$ 25-40K</t>
        </is>
      </c>
      <c r="N14" s="20" t="inlineStr">
        <is>
          <t>PLANEJADA</t>
        </is>
      </c>
      <c r="O14" s="20" t="n">
        <v>0</v>
      </c>
      <c r="P14" s="19" t="inlineStr">
        <is>
          <t>EVID-PD-255</t>
        </is>
      </c>
      <c r="Q14" s="19" t="inlineStr"/>
    </row>
    <row r="15">
      <c r="A15" s="17" t="inlineStr">
        <is>
          <t xml:space="preserve">  P4.S3 - IA aplicada e automacao</t>
        </is>
      </c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</row>
    <row r="16">
      <c r="A16" s="19" t="inlineStr">
        <is>
          <t>INIT-003</t>
        </is>
      </c>
      <c r="B16" s="20" t="inlineStr">
        <is>
          <t>P4</t>
        </is>
      </c>
      <c r="C16" s="20" t="inlineStr">
        <is>
          <t>P4.S3</t>
        </is>
      </c>
      <c r="D16" s="19" t="inlineStr">
        <is>
          <t>M1 - Monetizacao</t>
        </is>
      </c>
      <c r="E16" s="19" t="inlineStr">
        <is>
          <t>Painel de monetizacao (saldo, vazao, idade, previsao, Pareto)</t>
        </is>
      </c>
      <c r="F16" s="20" t="inlineStr">
        <is>
          <t>SIS</t>
        </is>
      </c>
      <c r="G16" s="20" t="inlineStr">
        <is>
          <t>P0</t>
        </is>
      </c>
      <c r="H16" s="20" t="inlineStr">
        <is>
          <t>OKR-P4</t>
        </is>
      </c>
      <c r="I16" s="19" t="inlineStr">
        <is>
          <t>P4.3</t>
        </is>
      </c>
      <c r="J16" s="19" t="inlineStr">
        <is>
          <t>Direcao + Consultoria</t>
        </is>
      </c>
      <c r="K16" s="19" t="inlineStr">
        <is>
          <t>Direcao Executiva</t>
        </is>
      </c>
      <c r="L16" s="19" t="inlineStr">
        <is>
          <t>Mar-Abr/26</t>
        </is>
      </c>
      <c r="M16" s="19" t="inlineStr">
        <is>
          <t>R$ 30-50K</t>
        </is>
      </c>
      <c r="N16" s="20" t="inlineStr">
        <is>
          <t>PLANEJADA</t>
        </is>
      </c>
      <c r="O16" s="20" t="n">
        <v>0</v>
      </c>
      <c r="P16" s="19" t="inlineStr">
        <is>
          <t>EVID-2026-003</t>
        </is>
      </c>
      <c r="Q16" s="19" t="inlineStr"/>
    </row>
    <row r="17">
      <c r="A17" s="19" t="inlineStr">
        <is>
          <t>INIT-011</t>
        </is>
      </c>
      <c r="B17" s="20" t="inlineStr">
        <is>
          <t>P4</t>
        </is>
      </c>
      <c r="C17" s="20" t="inlineStr">
        <is>
          <t>P4.S3</t>
        </is>
      </c>
      <c r="D17" s="19" t="inlineStr">
        <is>
          <t>M4 - Produto/IA</t>
        </is>
      </c>
      <c r="E17" s="19" t="inlineStr">
        <is>
          <t>1a automacao/IA com ganho operacional mensuravel</t>
        </is>
      </c>
      <c r="F17" s="20" t="inlineStr">
        <is>
          <t>SIS</t>
        </is>
      </c>
      <c r="G17" s="20" t="inlineStr">
        <is>
          <t>P0</t>
        </is>
      </c>
      <c r="H17" s="20" t="inlineStr">
        <is>
          <t>OKR-P4</t>
        </is>
      </c>
      <c r="I17" s="19" t="inlineStr">
        <is>
          <t>P4.5</t>
        </is>
      </c>
      <c r="J17" s="19" t="inlineStr">
        <is>
          <t>Direcao + Consultoria</t>
        </is>
      </c>
      <c r="K17" s="19" t="inlineStr">
        <is>
          <t>Direcao Executiva</t>
        </is>
      </c>
      <c r="L17" s="19" t="inlineStr">
        <is>
          <t>Abr-Set/26</t>
        </is>
      </c>
      <c r="M17" s="19" t="inlineStr">
        <is>
          <t>R$ 40-70K</t>
        </is>
      </c>
      <c r="N17" s="20" t="inlineStr">
        <is>
          <t>PLANEJADA</t>
        </is>
      </c>
      <c r="O17" s="20" t="n">
        <v>0</v>
      </c>
      <c r="P17" s="19" t="inlineStr">
        <is>
          <t>EVID-2026-011</t>
        </is>
      </c>
      <c r="Q17" s="19" t="inlineStr"/>
    </row>
    <row r="18">
      <c r="A18" s="19" t="inlineStr">
        <is>
          <t>INIT-PD-252</t>
        </is>
      </c>
      <c r="B18" s="20" t="inlineStr">
        <is>
          <t>P4</t>
        </is>
      </c>
      <c r="C18" s="20" t="inlineStr">
        <is>
          <t>P4.S3</t>
        </is>
      </c>
      <c r="D18" s="19" t="inlineStr">
        <is>
          <t>M4 - Produto/IA</t>
        </is>
      </c>
      <c r="E18" s="19" t="inlineStr">
        <is>
          <t>Dashboard interno metricas operacionais (v1.0)</t>
        </is>
      </c>
      <c r="F18" s="20" t="inlineStr">
        <is>
          <t>SIS</t>
        </is>
      </c>
      <c r="G18" s="20" t="inlineStr">
        <is>
          <t>P0</t>
        </is>
      </c>
      <c r="H18" s="20" t="inlineStr">
        <is>
          <t>OKR-P4</t>
        </is>
      </c>
      <c r="I18" s="19" t="inlineStr">
        <is>
          <t>P4.3</t>
        </is>
      </c>
      <c r="J18" s="19" t="inlineStr">
        <is>
          <t>Direcao + Consultoria</t>
        </is>
      </c>
      <c r="K18" s="19" t="inlineStr">
        <is>
          <t>Direcao Executiva</t>
        </is>
      </c>
      <c r="L18" s="19" t="inlineStr">
        <is>
          <t>Mar-Abr/26</t>
        </is>
      </c>
      <c r="M18" s="19" t="inlineStr">
        <is>
          <t>R$ 15-25K</t>
        </is>
      </c>
      <c r="N18" s="20" t="inlineStr">
        <is>
          <t>PLANEJADA</t>
        </is>
      </c>
      <c r="O18" s="20" t="n">
        <v>0</v>
      </c>
      <c r="P18" s="19" t="inlineStr">
        <is>
          <t>EVID-PD-252</t>
        </is>
      </c>
      <c r="Q18" s="19" t="inlineStr"/>
    </row>
    <row r="19">
      <c r="A19" s="19" t="inlineStr">
        <is>
          <t>INIT-014</t>
        </is>
      </c>
      <c r="B19" s="20" t="inlineStr">
        <is>
          <t>P4</t>
        </is>
      </c>
      <c r="C19" s="20" t="inlineStr">
        <is>
          <t>P4.S3</t>
        </is>
      </c>
      <c r="D19" s="19" t="inlineStr">
        <is>
          <t>M4 - Produto/IA</t>
        </is>
      </c>
      <c r="E19" s="19" t="inlineStr">
        <is>
          <t>Centro de Tecnologia e IA</t>
        </is>
      </c>
      <c r="F19" s="20" t="inlineStr">
        <is>
          <t>SIS</t>
        </is>
      </c>
      <c r="G19" s="20" t="inlineStr">
        <is>
          <t>P1</t>
        </is>
      </c>
      <c r="H19" s="20" t="inlineStr">
        <is>
          <t>OKR-P4</t>
        </is>
      </c>
      <c r="I19" s="19" t="inlineStr">
        <is>
          <t>P4.5</t>
        </is>
      </c>
      <c r="J19" s="19" t="inlineStr">
        <is>
          <t>Direcao + Consultoria</t>
        </is>
      </c>
      <c r="K19" s="19" t="inlineStr">
        <is>
          <t>Direcao Executiva</t>
        </is>
      </c>
      <c r="L19" s="19" t="inlineStr">
        <is>
          <t>Abr-Dez/26</t>
        </is>
      </c>
      <c r="M19" s="19" t="inlineStr">
        <is>
          <t>R$ 230-370K</t>
        </is>
      </c>
      <c r="N19" s="20" t="inlineStr">
        <is>
          <t>PLANEJADA</t>
        </is>
      </c>
      <c r="O19" s="20" t="n">
        <v>0</v>
      </c>
      <c r="P19" s="19" t="inlineStr">
        <is>
          <t>EVID-2026-014</t>
        </is>
      </c>
      <c r="Q19" s="19" t="inlineStr"/>
    </row>
    <row r="20">
      <c r="A20" s="19" t="inlineStr">
        <is>
          <t>INIT-PD-256</t>
        </is>
      </c>
      <c r="B20" s="20" t="inlineStr">
        <is>
          <t>P4</t>
        </is>
      </c>
      <c r="C20" s="20" t="inlineStr">
        <is>
          <t>P4.S3</t>
        </is>
      </c>
      <c r="D20" s="19" t="inlineStr">
        <is>
          <t>M4 - Produto/IA</t>
        </is>
      </c>
      <c r="E20" s="19" t="inlineStr">
        <is>
          <t>Estudo e PoC IA aplicada a operacao de campo</t>
        </is>
      </c>
      <c r="F20" s="20" t="inlineStr">
        <is>
          <t>SIS</t>
        </is>
      </c>
      <c r="G20" s="20" t="inlineStr">
        <is>
          <t>P1</t>
        </is>
      </c>
      <c r="H20" s="20" t="inlineStr">
        <is>
          <t>OKR-P4</t>
        </is>
      </c>
      <c r="I20" s="19" t="inlineStr">
        <is>
          <t>P4.5</t>
        </is>
      </c>
      <c r="J20" s="19" t="inlineStr">
        <is>
          <t>Direcao + Consultoria</t>
        </is>
      </c>
      <c r="K20" s="19" t="inlineStr">
        <is>
          <t>Direcao Executiva</t>
        </is>
      </c>
      <c r="L20" s="19" t="inlineStr">
        <is>
          <t>Jun-Set/26</t>
        </is>
      </c>
      <c r="M20" s="19" t="inlineStr">
        <is>
          <t>R$ 40-60K</t>
        </is>
      </c>
      <c r="N20" s="20" t="inlineStr">
        <is>
          <t>PLANEJADA</t>
        </is>
      </c>
      <c r="O20" s="20" t="n">
        <v>0</v>
      </c>
      <c r="P20" s="19" t="inlineStr">
        <is>
          <t>EVID-PD-256</t>
        </is>
      </c>
      <c r="Q20" s="19" t="inlineStr"/>
    </row>
    <row r="21">
      <c r="A21" s="17" t="inlineStr">
        <is>
          <t xml:space="preserve">  P4.S4 - Arquitetura e governanca de dados</t>
        </is>
      </c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</row>
    <row r="22">
      <c r="A22" s="19" t="inlineStr">
        <is>
          <t>INIT-PD-251</t>
        </is>
      </c>
      <c r="B22" s="20" t="inlineStr">
        <is>
          <t>P4</t>
        </is>
      </c>
      <c r="C22" s="20" t="inlineStr">
        <is>
          <t>P4.S4</t>
        </is>
      </c>
      <c r="D22" s="19" t="inlineStr">
        <is>
          <t>M4 - Produto/IA</t>
        </is>
      </c>
      <c r="E22" s="19" t="inlineStr">
        <is>
          <t>Arquitetura de dados: modelo canonico e governanca</t>
        </is>
      </c>
      <c r="F22" s="20" t="inlineStr">
        <is>
          <t>SIS</t>
        </is>
      </c>
      <c r="G22" s="20" t="inlineStr">
        <is>
          <t>P0</t>
        </is>
      </c>
      <c r="H22" s="20" t="inlineStr">
        <is>
          <t>OKR-P4</t>
        </is>
      </c>
      <c r="I22" s="19" t="inlineStr">
        <is>
          <t>P4.4</t>
        </is>
      </c>
      <c r="J22" s="19" t="inlineStr">
        <is>
          <t>Direcao + Consultoria</t>
        </is>
      </c>
      <c r="K22" s="19" t="inlineStr">
        <is>
          <t>Direcao Executiva</t>
        </is>
      </c>
      <c r="L22" s="19" t="inlineStr">
        <is>
          <t>Mar-Abr/26</t>
        </is>
      </c>
      <c r="M22" s="19" t="inlineStr">
        <is>
          <t>R$ 20-35K</t>
        </is>
      </c>
      <c r="N22" s="20" t="inlineStr">
        <is>
          <t>PLANEJADA</t>
        </is>
      </c>
      <c r="O22" s="20" t="n">
        <v>0</v>
      </c>
      <c r="P22" s="19" t="inlineStr">
        <is>
          <t>EVID-PD-251</t>
        </is>
      </c>
      <c r="Q22" s="19" t="inlineStr"/>
    </row>
    <row r="24">
      <c r="A24" s="2" t="inlineStr">
        <is>
          <t>Fonte: DOC 08 v2 + DOC 06 v2 + DOC 04 v2 | PE2026 | Confidencial</t>
        </is>
      </c>
    </row>
  </sheetData>
  <mergeCells count="10">
    <mergeCell ref="A8:Q8"/>
    <mergeCell ref="A3:Q3"/>
    <mergeCell ref="A21:Q21"/>
    <mergeCell ref="A12:Q12"/>
    <mergeCell ref="A4:Q4"/>
    <mergeCell ref="A7:Q7"/>
    <mergeCell ref="A24:Q24"/>
    <mergeCell ref="A2:Q2"/>
    <mergeCell ref="A15:Q15"/>
    <mergeCell ref="A1:Q1"/>
  </mergeCells>
  <conditionalFormatting sqref="N7:N34">
    <cfRule type="cellIs" priority="1" operator="equal" dxfId="0">
      <formula>"PLANEJADA"</formula>
    </cfRule>
    <cfRule type="cellIs" priority="2" operator="equal" dxfId="1">
      <formula>"EM ANDAMENTO"</formula>
    </cfRule>
    <cfRule type="cellIs" priority="3" operator="equal" dxfId="2">
      <formula>"BLOQUEADA"</formula>
    </cfRule>
    <cfRule type="cellIs" priority="4" operator="equal" dxfId="3">
      <formula>"CONCLUÍDA"</formula>
    </cfRule>
    <cfRule type="cellIs" priority="5" operator="equal" dxfId="4">
      <formula>"CANCELADA"</formula>
    </cfRule>
  </conditionalFormatting>
  <conditionalFormatting sqref="G7:G34">
    <cfRule type="cellIs" priority="6" operator="equal" dxfId="5">
      <formula>"P0"</formula>
    </cfRule>
    <cfRule type="cellIs" priority="7" operator="equal" dxfId="6">
      <formula>"P1"</formula>
    </cfRule>
    <cfRule type="cellIs" priority="8" operator="equal" dxfId="7">
      <formula>"P2"</formula>
    </cfRule>
  </conditionalFormatting>
  <dataValidations count="7">
    <dataValidation sqref="B7:B34" showDropDown="0" showInputMessage="0" showErrorMessage="0" allowBlank="1" error="Selecione um valor da lista" prompt="Escolha uma opcao" type="list">
      <formula1>Config!$E$2:$E$6</formula1>
    </dataValidation>
    <dataValidation sqref="C7:C34" showDropDown="0" showInputMessage="0" showErrorMessage="0" allowBlank="1" error="Selecione um valor da lista" prompt="Escolha uma opcao" type="list">
      <formula1>Config!$F$2:$F$21</formula1>
    </dataValidation>
    <dataValidation sqref="D7:D34" showDropDown="0" showInputMessage="0" showErrorMessage="0" allowBlank="1" error="Selecione um valor da lista" prompt="Escolha uma opcao" type="list">
      <formula1>Config!$D$2:$D$6</formula1>
    </dataValidation>
    <dataValidation sqref="F7:F34" showDropDown="0" showInputMessage="0" showErrorMessage="0" allowBlank="1" error="Selecione um valor da lista" prompt="Escolha uma opcao" type="list">
      <formula1>Config!$B$2:$B$6</formula1>
    </dataValidation>
    <dataValidation sqref="G7:G34" showDropDown="0" showInputMessage="0" showErrorMessage="0" allowBlank="1" error="Selecione um valor da lista" prompt="Escolha uma opcao" type="list">
      <formula1>Config!$C$2:$C$4</formula1>
    </dataValidation>
    <dataValidation sqref="N7:N34" showDropDown="0" showInputMessage="0" showErrorMessage="0" allowBlank="1" error="Selecione um valor da lista" prompt="Escolha uma opcao" type="list">
      <formula1>Config!$A$2:$A$6</formula1>
    </dataValidation>
    <dataValidation sqref="O7:O34" showDropDown="0" showInputMessage="0" showErrorMessage="0" allowBlank="0" error="Valor entre 0 e 100" type="whole" operator="between">
      <formula1>0</formula1>
      <formula2>100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20" customWidth="1" min="3" max="3"/>
    <col width="8" customWidth="1" min="4" max="4"/>
    <col width="10" customWidth="1" min="5" max="5"/>
    <col width="14" customWidth="1" min="6" max="6"/>
    <col width="10" customWidth="1" min="7" max="7"/>
    <col width="8" customWidth="1" min="8" max="8"/>
    <col width="12" customWidth="1" min="9" max="9"/>
    <col width="16" customWidth="1" min="10" max="10"/>
    <col width="16" customWidth="1" min="11" max="11"/>
    <col width="22" customWidth="1" min="12" max="12"/>
  </cols>
  <sheetData>
    <row r="1">
      <c r="A1" s="4" t="inlineStr">
        <is>
          <t>Mapa de Rastreabilidade: INIT &gt; KR &gt; OKR &gt; Pilar &gt; EVID</t>
        </is>
      </c>
    </row>
    <row r="3">
      <c r="A3" s="21" t="inlineStr">
        <is>
          <t>INIT</t>
        </is>
      </c>
      <c r="B3" s="21" t="inlineStr">
        <is>
          <t>Titulo</t>
        </is>
      </c>
      <c r="C3" s="21" t="inlineStr">
        <is>
          <t>Motor</t>
        </is>
      </c>
      <c r="D3" s="21" t="inlineStr">
        <is>
          <t>Pilar</t>
        </is>
      </c>
      <c r="E3" s="21" t="inlineStr">
        <is>
          <t>Subpilar</t>
        </is>
      </c>
      <c r="F3" s="21" t="inlineStr">
        <is>
          <t>KR Principal</t>
        </is>
      </c>
      <c r="G3" s="21" t="inlineStr">
        <is>
          <t>OKR</t>
        </is>
      </c>
      <c r="H3" s="21" t="inlineStr">
        <is>
          <t>Tipo</t>
        </is>
      </c>
      <c r="I3" s="21" t="inlineStr">
        <is>
          <t>Prioridade</t>
        </is>
      </c>
      <c r="J3" s="21" t="inlineStr">
        <is>
          <t>Status</t>
        </is>
      </c>
      <c r="K3" s="21" t="inlineStr">
        <is>
          <t>Prazo</t>
        </is>
      </c>
      <c r="L3" s="21" t="inlineStr">
        <is>
          <t>EVID</t>
        </is>
      </c>
    </row>
    <row r="4">
      <c r="A4" s="22" t="inlineStr">
        <is>
          <t>INIT-003</t>
        </is>
      </c>
      <c r="B4" s="22" t="inlineStr">
        <is>
          <t>Painel de monetizacao (saldo, vazao, idade, previsao, Pareto)</t>
        </is>
      </c>
      <c r="C4" s="23" t="inlineStr">
        <is>
          <t>M1 - Monetizacao</t>
        </is>
      </c>
      <c r="D4" s="23" t="inlineStr">
        <is>
          <t>P4</t>
        </is>
      </c>
      <c r="E4" s="23" t="inlineStr">
        <is>
          <t>P4.S3</t>
        </is>
      </c>
      <c r="F4" s="22" t="inlineStr">
        <is>
          <t>P4.3</t>
        </is>
      </c>
      <c r="G4" s="23" t="inlineStr">
        <is>
          <t>OKR-P4</t>
        </is>
      </c>
      <c r="H4" s="23" t="inlineStr">
        <is>
          <t>SIS</t>
        </is>
      </c>
      <c r="I4" s="23" t="inlineStr">
        <is>
          <t>P0</t>
        </is>
      </c>
      <c r="J4" s="23" t="inlineStr">
        <is>
          <t>PLANEJADA</t>
        </is>
      </c>
      <c r="K4" s="22" t="inlineStr">
        <is>
          <t>Mar-Abr/26</t>
        </is>
      </c>
      <c r="L4" s="22" t="inlineStr">
        <is>
          <t>EVID-2026-003</t>
        </is>
      </c>
    </row>
    <row r="5">
      <c r="A5" s="22" t="inlineStr">
        <is>
          <t>INIT-010</t>
        </is>
      </c>
      <c r="B5" s="22" t="inlineStr">
        <is>
          <t>Padronizar relatorio executivo de evidencia (v1.0)</t>
        </is>
      </c>
      <c r="C5" s="23" t="inlineStr">
        <is>
          <t>M4 - Produto/IA</t>
        </is>
      </c>
      <c r="D5" s="23" t="inlineStr">
        <is>
          <t>P4</t>
        </is>
      </c>
      <c r="E5" s="23" t="inlineStr">
        <is>
          <t>P4.S2</t>
        </is>
      </c>
      <c r="F5" s="22" t="inlineStr">
        <is>
          <t>P4.2</t>
        </is>
      </c>
      <c r="G5" s="23" t="inlineStr">
        <is>
          <t>OKR-P4</t>
        </is>
      </c>
      <c r="H5" s="23" t="inlineStr">
        <is>
          <t>SIS</t>
        </is>
      </c>
      <c r="I5" s="23" t="inlineStr">
        <is>
          <t>P0</t>
        </is>
      </c>
      <c r="J5" s="23" t="inlineStr">
        <is>
          <t>PLANEJADA</t>
        </is>
      </c>
      <c r="K5" s="22" t="inlineStr">
        <is>
          <t>Mar/26</t>
        </is>
      </c>
      <c r="L5" s="22" t="inlineStr">
        <is>
          <t>EVID-2026-010</t>
        </is>
      </c>
    </row>
    <row r="6">
      <c r="A6" s="22" t="inlineStr">
        <is>
          <t>INIT-011</t>
        </is>
      </c>
      <c r="B6" s="22" t="inlineStr">
        <is>
          <t>1a automacao/IA com ganho operacional mensuravel</t>
        </is>
      </c>
      <c r="C6" s="23" t="inlineStr">
        <is>
          <t>M4 - Produto/IA</t>
        </is>
      </c>
      <c r="D6" s="23" t="inlineStr">
        <is>
          <t>P4</t>
        </is>
      </c>
      <c r="E6" s="23" t="inlineStr">
        <is>
          <t>P4.S3</t>
        </is>
      </c>
      <c r="F6" s="22" t="inlineStr">
        <is>
          <t>P4.5</t>
        </is>
      </c>
      <c r="G6" s="23" t="inlineStr">
        <is>
          <t>OKR-P4</t>
        </is>
      </c>
      <c r="H6" s="23" t="inlineStr">
        <is>
          <t>SIS</t>
        </is>
      </c>
      <c r="I6" s="23" t="inlineStr">
        <is>
          <t>P0</t>
        </is>
      </c>
      <c r="J6" s="23" t="inlineStr">
        <is>
          <t>PLANEJADA</t>
        </is>
      </c>
      <c r="K6" s="22" t="inlineStr">
        <is>
          <t>Abr-Set/26</t>
        </is>
      </c>
      <c r="L6" s="22" t="inlineStr">
        <is>
          <t>EVID-2026-011</t>
        </is>
      </c>
    </row>
    <row r="7">
      <c r="A7" s="22" t="inlineStr">
        <is>
          <t>INIT-PD-251</t>
        </is>
      </c>
      <c r="B7" s="22" t="inlineStr">
        <is>
          <t>Arquitetura de dados: modelo canonico e governanca</t>
        </is>
      </c>
      <c r="C7" s="23" t="inlineStr">
        <is>
          <t>M4 - Produto/IA</t>
        </is>
      </c>
      <c r="D7" s="23" t="inlineStr">
        <is>
          <t>P4</t>
        </is>
      </c>
      <c r="E7" s="23" t="inlineStr">
        <is>
          <t>P4.S4</t>
        </is>
      </c>
      <c r="F7" s="22" t="inlineStr">
        <is>
          <t>P4.4</t>
        </is>
      </c>
      <c r="G7" s="23" t="inlineStr">
        <is>
          <t>OKR-P4</t>
        </is>
      </c>
      <c r="H7" s="23" t="inlineStr">
        <is>
          <t>SIS</t>
        </is>
      </c>
      <c r="I7" s="23" t="inlineStr">
        <is>
          <t>P0</t>
        </is>
      </c>
      <c r="J7" s="23" t="inlineStr">
        <is>
          <t>PLANEJADA</t>
        </is>
      </c>
      <c r="K7" s="22" t="inlineStr">
        <is>
          <t>Mar-Abr/26</t>
        </is>
      </c>
      <c r="L7" s="22" t="inlineStr">
        <is>
          <t>EVID-PD-251</t>
        </is>
      </c>
    </row>
    <row r="8">
      <c r="A8" s="22" t="inlineStr">
        <is>
          <t>INIT-PD-252</t>
        </is>
      </c>
      <c r="B8" s="22" t="inlineStr">
        <is>
          <t>Dashboard interno metricas operacionais (v1.0)</t>
        </is>
      </c>
      <c r="C8" s="23" t="inlineStr">
        <is>
          <t>M4 - Produto/IA</t>
        </is>
      </c>
      <c r="D8" s="23" t="inlineStr">
        <is>
          <t>P4</t>
        </is>
      </c>
      <c r="E8" s="23" t="inlineStr">
        <is>
          <t>P4.S3</t>
        </is>
      </c>
      <c r="F8" s="22" t="inlineStr">
        <is>
          <t>P4.3</t>
        </is>
      </c>
      <c r="G8" s="23" t="inlineStr">
        <is>
          <t>OKR-P4</t>
        </is>
      </c>
      <c r="H8" s="23" t="inlineStr">
        <is>
          <t>SIS</t>
        </is>
      </c>
      <c r="I8" s="23" t="inlineStr">
        <is>
          <t>P0</t>
        </is>
      </c>
      <c r="J8" s="23" t="inlineStr">
        <is>
          <t>PLANEJADA</t>
        </is>
      </c>
      <c r="K8" s="22" t="inlineStr">
        <is>
          <t>Mar-Abr/26</t>
        </is>
      </c>
      <c r="L8" s="22" t="inlineStr">
        <is>
          <t>EVID-PD-252</t>
        </is>
      </c>
    </row>
    <row r="9">
      <c r="A9" s="22" t="inlineStr">
        <is>
          <t>INIT-PD-253</t>
        </is>
      </c>
      <c r="B9" s="22" t="inlineStr">
        <is>
          <t>Baseline de uso do produto Techdengue (metricas adocao)</t>
        </is>
      </c>
      <c r="C9" s="23" t="inlineStr">
        <is>
          <t>M4 - Produto/IA</t>
        </is>
      </c>
      <c r="D9" s="23" t="inlineStr">
        <is>
          <t>P4</t>
        </is>
      </c>
      <c r="E9" s="23" t="inlineStr">
        <is>
          <t>P4.S1</t>
        </is>
      </c>
      <c r="F9" s="22" t="inlineStr">
        <is>
          <t>P4.4</t>
        </is>
      </c>
      <c r="G9" s="23" t="inlineStr">
        <is>
          <t>OKR-P4</t>
        </is>
      </c>
      <c r="H9" s="23" t="inlineStr">
        <is>
          <t>SIS</t>
        </is>
      </c>
      <c r="I9" s="23" t="inlineStr">
        <is>
          <t>P0</t>
        </is>
      </c>
      <c r="J9" s="23" t="inlineStr">
        <is>
          <t>PLANEJADA</t>
        </is>
      </c>
      <c r="K9" s="22" t="inlineStr">
        <is>
          <t>Abr/26</t>
        </is>
      </c>
      <c r="L9" s="22" t="inlineStr">
        <is>
          <t>EVID-PD-253</t>
        </is>
      </c>
    </row>
    <row r="10">
      <c r="A10" s="22" t="inlineStr">
        <is>
          <t>INIT-014</t>
        </is>
      </c>
      <c r="B10" s="22" t="inlineStr">
        <is>
          <t>Centro de Tecnologia e IA</t>
        </is>
      </c>
      <c r="C10" s="23" t="inlineStr">
        <is>
          <t>M4 - Produto/IA</t>
        </is>
      </c>
      <c r="D10" s="23" t="inlineStr">
        <is>
          <t>P4</t>
        </is>
      </c>
      <c r="E10" s="23" t="inlineStr">
        <is>
          <t>P4.S3</t>
        </is>
      </c>
      <c r="F10" s="22" t="inlineStr">
        <is>
          <t>P4.5</t>
        </is>
      </c>
      <c r="G10" s="23" t="inlineStr">
        <is>
          <t>OKR-P4</t>
        </is>
      </c>
      <c r="H10" s="23" t="inlineStr">
        <is>
          <t>SIS</t>
        </is>
      </c>
      <c r="I10" s="23" t="inlineStr">
        <is>
          <t>P1</t>
        </is>
      </c>
      <c r="J10" s="23" t="inlineStr">
        <is>
          <t>PLANEJADA</t>
        </is>
      </c>
      <c r="K10" s="22" t="inlineStr">
        <is>
          <t>Abr-Dez/26</t>
        </is>
      </c>
      <c r="L10" s="22" t="inlineStr">
        <is>
          <t>EVID-2026-014</t>
        </is>
      </c>
    </row>
    <row r="11">
      <c r="A11" s="22" t="inlineStr">
        <is>
          <t>INIT-020</t>
        </is>
      </c>
      <c r="B11" s="22" t="inlineStr">
        <is>
          <t>Baseline de uso do produto + melhoria &gt;= 15%</t>
        </is>
      </c>
      <c r="C11" s="23" t="inlineStr">
        <is>
          <t>M4 - Produto/IA</t>
        </is>
      </c>
      <c r="D11" s="23" t="inlineStr">
        <is>
          <t>P4</t>
        </is>
      </c>
      <c r="E11" s="23" t="inlineStr">
        <is>
          <t>P4.S1</t>
        </is>
      </c>
      <c r="F11" s="22" t="inlineStr">
        <is>
          <t>P4.4</t>
        </is>
      </c>
      <c r="G11" s="23" t="inlineStr">
        <is>
          <t>OKR-P4</t>
        </is>
      </c>
      <c r="H11" s="23" t="inlineStr">
        <is>
          <t>SIS</t>
        </is>
      </c>
      <c r="I11" s="23" t="inlineStr">
        <is>
          <t>P1</t>
        </is>
      </c>
      <c r="J11" s="23" t="inlineStr">
        <is>
          <t>PLANEJADA</t>
        </is>
      </c>
      <c r="K11" s="22" t="inlineStr">
        <is>
          <t>Abr-Dez/26</t>
        </is>
      </c>
      <c r="L11" s="22" t="inlineStr">
        <is>
          <t>EVID-2026-020</t>
        </is>
      </c>
    </row>
    <row r="12">
      <c r="A12" s="22" t="inlineStr">
        <is>
          <t>INIT-PD-254</t>
        </is>
      </c>
      <c r="B12" s="22" t="inlineStr">
        <is>
          <t>Roadmap de produto 2026 com prioridades definidas</t>
        </is>
      </c>
      <c r="C12" s="23" t="inlineStr">
        <is>
          <t>M4 - Produto/IA</t>
        </is>
      </c>
      <c r="D12" s="23" t="inlineStr">
        <is>
          <t>P4</t>
        </is>
      </c>
      <c r="E12" s="23" t="inlineStr">
        <is>
          <t>P4.S1</t>
        </is>
      </c>
      <c r="F12" s="22" t="inlineStr">
        <is>
          <t>P4.4</t>
        </is>
      </c>
      <c r="G12" s="23" t="inlineStr">
        <is>
          <t>OKR-P4</t>
        </is>
      </c>
      <c r="H12" s="23" t="inlineStr">
        <is>
          <t>MET</t>
        </is>
      </c>
      <c r="I12" s="23" t="inlineStr">
        <is>
          <t>P1</t>
        </is>
      </c>
      <c r="J12" s="23" t="inlineStr">
        <is>
          <t>PLANEJADA</t>
        </is>
      </c>
      <c r="K12" s="22" t="inlineStr">
        <is>
          <t>Abr/26</t>
        </is>
      </c>
      <c r="L12" s="22" t="inlineStr">
        <is>
          <t>EVID-PD-254</t>
        </is>
      </c>
    </row>
    <row r="13">
      <c r="A13" s="22" t="inlineStr">
        <is>
          <t>INIT-PD-255</t>
        </is>
      </c>
      <c r="B13" s="22" t="inlineStr">
        <is>
          <t>Automacao de relatorio de prova de valor (v2.0)</t>
        </is>
      </c>
      <c r="C13" s="23" t="inlineStr">
        <is>
          <t>M4 - Produto/IA</t>
        </is>
      </c>
      <c r="D13" s="23" t="inlineStr">
        <is>
          <t>P4</t>
        </is>
      </c>
      <c r="E13" s="23" t="inlineStr">
        <is>
          <t>P4.S2</t>
        </is>
      </c>
      <c r="F13" s="22" t="inlineStr">
        <is>
          <t>P4.2</t>
        </is>
      </c>
      <c r="G13" s="23" t="inlineStr">
        <is>
          <t>OKR-P4</t>
        </is>
      </c>
      <c r="H13" s="23" t="inlineStr">
        <is>
          <t>SIS</t>
        </is>
      </c>
      <c r="I13" s="23" t="inlineStr">
        <is>
          <t>P1</t>
        </is>
      </c>
      <c r="J13" s="23" t="inlineStr">
        <is>
          <t>PLANEJADA</t>
        </is>
      </c>
      <c r="K13" s="22" t="inlineStr">
        <is>
          <t>Mai-Set/26</t>
        </is>
      </c>
      <c r="L13" s="22" t="inlineStr">
        <is>
          <t>EVID-PD-255</t>
        </is>
      </c>
    </row>
    <row r="14">
      <c r="A14" s="22" t="inlineStr">
        <is>
          <t>INIT-PD-256</t>
        </is>
      </c>
      <c r="B14" s="22" t="inlineStr">
        <is>
          <t>Estudo e PoC IA aplicada a operacao de campo</t>
        </is>
      </c>
      <c r="C14" s="23" t="inlineStr">
        <is>
          <t>M4 - Produto/IA</t>
        </is>
      </c>
      <c r="D14" s="23" t="inlineStr">
        <is>
          <t>P4</t>
        </is>
      </c>
      <c r="E14" s="23" t="inlineStr">
        <is>
          <t>P4.S3</t>
        </is>
      </c>
      <c r="F14" s="22" t="inlineStr">
        <is>
          <t>P4.5</t>
        </is>
      </c>
      <c r="G14" s="23" t="inlineStr">
        <is>
          <t>OKR-P4</t>
        </is>
      </c>
      <c r="H14" s="23" t="inlineStr">
        <is>
          <t>SIS</t>
        </is>
      </c>
      <c r="I14" s="23" t="inlineStr">
        <is>
          <t>P1</t>
        </is>
      </c>
      <c r="J14" s="23" t="inlineStr">
        <is>
          <t>PLANEJADA</t>
        </is>
      </c>
      <c r="K14" s="22" t="inlineStr">
        <is>
          <t>Jun-Set/26</t>
        </is>
      </c>
      <c r="L14" s="22" t="inlineStr">
        <is>
          <t>EVID-PD-256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2026-03-23T16:55:55Z</dcterms:created>
  <dcterms:modified xsi:type="dcterms:W3CDTF">2026-03-23T16:55:56Z</dcterms:modified>
</cp:coreProperties>
</file>