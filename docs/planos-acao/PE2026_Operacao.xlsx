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fig" sheetId="2" state="hidden" r:id="rId2"/>
    <sheet name="Plano de Acao" sheetId="3" state="visible" r:id="rId3"/>
    <sheet name="Rastreabil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4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sz val="11"/>
    </font>
    <font>
      <name val="Calibri"/>
      <b val="1"/>
      <sz val="12"/>
    </font>
    <font>
      <name val="Calibri"/>
      <color rgb="00666666"/>
      <sz val="11"/>
    </font>
    <font>
      <name val="Calibri"/>
      <b val="1"/>
      <color rgb="001F3864"/>
      <sz val="28"/>
    </font>
    <font>
      <name val="Calibri"/>
      <b val="1"/>
      <color rgb="00FF0000"/>
      <sz val="11"/>
    </font>
    <font>
      <name val="Calibri"/>
      <b val="1"/>
      <color rgb="00FF0000"/>
      <sz val="14"/>
    </font>
    <font>
      <name val="Calibri"/>
      <color rgb="00888888"/>
      <sz val="10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DAEEF3"/>
        <bgColor rgb="00DAEEF3"/>
      </patternFill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left style="medium">
        <color rgb="00D9D9D9"/>
      </left>
      <right style="medium">
        <color rgb="00D9D9D9"/>
      </right>
      <top style="medium">
        <color rgb="00D9D9D9"/>
      </top>
      <bottom style="medium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4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3" borderId="2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2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6" borderId="2" applyAlignment="1" pivotButton="0" quotePrefix="0" xfId="0">
      <alignment vertical="center" wrapText="1"/>
    </xf>
    <xf numFmtId="0" fontId="4" fillId="6" borderId="2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4" fillId="9" borderId="2" applyAlignment="1" pivotButton="0" quotePrefix="0" xfId="0">
      <alignment vertical="center" wrapText="1"/>
    </xf>
    <xf numFmtId="0" fontId="4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ill>
        <patternFill patternType="solid">
          <fgColor rgb="00F2F2F2"/>
          <bgColor rgb="00F2F2F2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FCD5D5"/>
          <bgColor rgb="00FCD5D5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D9D9D9"/>
          <bgColor rgb="00D9D9D9"/>
        </patternFill>
      </fill>
    </dxf>
    <dxf>
      <font>
        <name val="Calibri"/>
        <b val="1"/>
        <color rgb="00FFFFFF"/>
        <sz val="11"/>
      </font>
      <fill>
        <patternFill patternType="solid">
          <fgColor rgb="00FF6B6B"/>
          <bgColor rgb="00FF6B6B"/>
        </patternFill>
      </fill>
    </dxf>
    <dxf>
      <font>
        <name val="Calibri"/>
        <b val="1"/>
        <color rgb="00FFFFFF"/>
        <sz val="11"/>
      </font>
      <fill>
        <patternFill patternType="solid">
          <fgColor rgb="00FFA94D"/>
          <bgColor rgb="00FFA94D"/>
        </patternFill>
      </fill>
    </dxf>
    <dxf>
      <font>
        <name val="Calibri"/>
        <b val="1"/>
        <color rgb="00333333"/>
        <sz val="11"/>
      </font>
      <fill>
        <patternFill patternType="solid">
          <fgColor rgb="00FFD43B"/>
          <bgColor rgb="00FFD4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PE2026 - Plano de Acao: Operacao</t>
        </is>
      </c>
    </row>
    <row r="2">
      <c r="A2" s="2" t="inlineStr">
        <is>
          <t>Confidencial - Uso interno da Direcao | Mar/2026</t>
        </is>
      </c>
    </row>
    <row r="3" ht="30" customHeight="1">
      <c r="A3" s="3" t="inlineStr">
        <is>
          <t>Mandato: Executar com qualidade, produtividade e previsibilidade, sustentando crescimento e monetizacao sem comprometer margem.</t>
        </is>
      </c>
    </row>
    <row r="4">
      <c r="A4" s="4" t="inlineStr">
        <is>
          <t>OKRs: P2 (primario) - P3 (primario)  |  Envelope: R$ 1.062K</t>
        </is>
      </c>
    </row>
    <row r="6" ht="20" customHeight="1">
      <c r="A6" s="5" t="inlineStr">
        <is>
          <t>TOTAL ACOES</t>
        </is>
      </c>
      <c r="B6" s="6" t="n"/>
      <c r="C6" s="5" t="inlineStr">
        <is>
          <t>EM ANDAMENTO</t>
        </is>
      </c>
      <c r="D6" s="6" t="n"/>
      <c r="E6" s="5" t="inlineStr">
        <is>
          <t>BLOQUEADAS</t>
        </is>
      </c>
      <c r="F6" s="6" t="n"/>
      <c r="G6" s="5" t="inlineStr">
        <is>
          <t>CONCLUIDAS</t>
        </is>
      </c>
      <c r="H6" s="6" t="n"/>
    </row>
    <row r="7" ht="45" customHeight="1">
      <c r="A7" s="7">
        <f>COUNTA('Plano de Acao'!A7:A200)-COUNTBLANK('Plano de Acao'!A7:A200)</f>
        <v/>
      </c>
      <c r="B7" s="6" t="n"/>
      <c r="C7" s="7">
        <f>COUNTIF('Plano de Acao'!N:N,"EM ANDAMENTO")</f>
        <v/>
      </c>
      <c r="D7" s="6" t="n"/>
      <c r="E7" s="7">
        <f>COUNTIF('Plano de Acao'!N:N,"BLOQUEADA")</f>
        <v/>
      </c>
      <c r="F7" s="6" t="n"/>
      <c r="G7" s="7">
        <f>COUNTIF('Plano de Acao'!N:N,"CONCLUIDA")</f>
        <v/>
      </c>
      <c r="H7" s="6" t="n"/>
    </row>
    <row r="9">
      <c r="A9" s="8" t="inlineStr">
        <is>
          <t>ACOES P0 ABERTAS:</t>
        </is>
      </c>
      <c r="C9" s="9">
        <f>COUNTIFS('Plano de Acao'!G:G,"P0",'Plano de Acao'!N:N,"&lt;&gt;CONCLUIDA",'Plano de Acao'!N:N,"&lt;&gt;CANCELADA")</f>
        <v/>
      </c>
    </row>
    <row r="11">
      <c r="A11" s="4" t="inlineStr">
        <is>
          <t>PROGRESSO POR PILAR</t>
        </is>
      </c>
    </row>
    <row r="12">
      <c r="A12" s="3" t="inlineStr">
        <is>
          <t>P1 - Governanca, Separacao Aero x TD e Padrao</t>
        </is>
      </c>
      <c r="E12" s="10">
        <f>IFERROR(COUNTIFS('Plano de Acao'!B:B,"P1",'Plano de Acao'!N:N,"CONCLUIDA")/COUNTIF('Plano de Acao'!B:B,"P1")*100,0)</f>
        <v/>
      </c>
      <c r="F12" s="11">
        <f>COUNTIF('Plano de Acao'!B:B,"P1")</f>
        <v/>
      </c>
    </row>
    <row r="13">
      <c r="A13" s="3" t="inlineStr">
        <is>
          <t>P2 - Crescimento, Expansao e Diversificacao</t>
        </is>
      </c>
      <c r="E13" s="10">
        <f>IFERROR(COUNTIFS('Plano de Acao'!B:B,"P2",'Plano de Acao'!N:N,"CONCLUIDA")/COUNTIF('Plano de Acao'!B:B,"P2")*100,0)</f>
        <v/>
      </c>
      <c r="F13" s="11">
        <f>COUNTIF('Plano de Acao'!B:B,"P2")</f>
        <v/>
      </c>
    </row>
    <row r="14">
      <c r="A14" s="3" t="inlineStr">
        <is>
          <t>P3 - Excelencia Operacional e Escala com Marg</t>
        </is>
      </c>
      <c r="E14" s="10">
        <f>IFERROR(COUNTIFS('Plano de Acao'!B:B,"P3",'Plano de Acao'!N:N,"CONCLUIDA")/COUNTIF('Plano de Acao'!B:B,"P3")*100,0)</f>
        <v/>
      </c>
      <c r="F14" s="11">
        <f>COUNTIF('Plano de Acao'!B:B,"P3")</f>
        <v/>
      </c>
    </row>
    <row r="15">
      <c r="A15" s="3" t="inlineStr">
        <is>
          <t>P4 - Produto, Dados e IA como Vantagem Defens</t>
        </is>
      </c>
      <c r="E15" s="10">
        <f>IFERROR(COUNTIFS('Plano de Acao'!B:B,"P4",'Plano de Acao'!N:N,"CONCLUIDA")/COUNTIF('Plano de Acao'!B:B,"P4")*100,0)</f>
        <v/>
      </c>
      <c r="F15" s="11">
        <f>COUNTIF('Plano de Acao'!B:B,"P4")</f>
        <v/>
      </c>
    </row>
    <row r="16">
      <c r="A16" s="3" t="inlineStr">
        <is>
          <t>P5 - Pessoas, Lideranca e Capacidade Intelect</t>
        </is>
      </c>
      <c r="E16" s="10">
        <f>IFERROR(COUNTIFS('Plano de Acao'!B:B,"P5",'Plano de Acao'!N:N,"CONCLUIDA")/COUNTIF('Plano de Acao'!B:B,"P5")*100,0)</f>
        <v/>
      </c>
      <c r="F16" s="11">
        <f>COUNTIF('Plano de Acao'!B:B,"P5")</f>
        <v/>
      </c>
    </row>
    <row r="18">
      <c r="A18" s="2" t="inlineStr">
        <is>
          <t>P0 = Critico 90 dias (vermelho) | P1 = Estrategico do ano (laranja) | P2 = Melhoria (amarelo)</t>
        </is>
      </c>
    </row>
  </sheetData>
  <mergeCells count="14">
    <mergeCell ref="A18:H18"/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G6:H6"/>
    <mergeCell ref="A1:H1"/>
    <mergeCell ref="A9:B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Status</t>
        </is>
      </c>
      <c r="B1" s="12" t="inlineStr">
        <is>
          <t>Tipo</t>
        </is>
      </c>
      <c r="C1" s="12" t="inlineStr">
        <is>
          <t>Prioridade</t>
        </is>
      </c>
      <c r="D1" s="12" t="inlineStr">
        <is>
          <t>Motor</t>
        </is>
      </c>
      <c r="E1" s="12" t="inlineStr">
        <is>
          <t>Pilar</t>
        </is>
      </c>
      <c r="F1" s="12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3" t="inlineStr">
        <is>
          <t>PE2026 - Plano de Acao: Operacao (11-D)</t>
        </is>
      </c>
    </row>
    <row r="2">
      <c r="A2" s="3" t="inlineStr">
        <is>
          <t>Mandato: Executar com qualidade, produtividade e previsibilidade, sustentando crescimento e monetizacao sem comprometer margem.</t>
        </is>
      </c>
    </row>
    <row r="3">
      <c r="A3" s="3" t="inlineStr">
        <is>
          <t>OKRs: P2 (primario) - P3 (primario)  |  Envelope: R$ 1.062K  |  Versao 1.0 - Mar/2026</t>
        </is>
      </c>
    </row>
    <row r="4">
      <c r="A4" s="2" t="inlineStr">
        <is>
          <t>Legenda: P0 = Critico 90 dias | P1 = Estrategico do ano | P2 = Melhoria | Status: preencha apenas Status, Progresso e Observacoes</t>
        </is>
      </c>
    </row>
    <row r="6">
      <c r="A6" s="14" t="inlineStr">
        <is>
          <t>Codigo</t>
        </is>
      </c>
      <c r="B6" s="14" t="inlineStr">
        <is>
          <t>Pilar</t>
        </is>
      </c>
      <c r="C6" s="14" t="inlineStr">
        <is>
          <t>Subpilar</t>
        </is>
      </c>
      <c r="D6" s="14" t="inlineStr">
        <is>
          <t>Motor</t>
        </is>
      </c>
      <c r="E6" s="14" t="inlineStr">
        <is>
          <t>Titulo da Acao</t>
        </is>
      </c>
      <c r="F6" s="14" t="inlineStr">
        <is>
          <t>Tipo</t>
        </is>
      </c>
      <c r="G6" s="14" t="inlineStr">
        <is>
          <t>Prioridade</t>
        </is>
      </c>
      <c r="H6" s="14" t="inlineStr">
        <is>
          <t>OKR</t>
        </is>
      </c>
      <c r="I6" s="14" t="inlineStr">
        <is>
          <t>KR Principal</t>
        </is>
      </c>
      <c r="J6" s="14" t="inlineStr">
        <is>
          <t>Responsavel</t>
        </is>
      </c>
      <c r="K6" s="14" t="inlineStr">
        <is>
          <t>Patrocinador</t>
        </is>
      </c>
      <c r="L6" s="14" t="inlineStr">
        <is>
          <t>Prazo</t>
        </is>
      </c>
      <c r="M6" s="14" t="inlineStr">
        <is>
          <t>Custo (R$)</t>
        </is>
      </c>
      <c r="N6" s="14" t="inlineStr">
        <is>
          <t>Status</t>
        </is>
      </c>
      <c r="O6" s="14" t="inlineStr">
        <is>
          <t>Progresso %</t>
        </is>
      </c>
      <c r="P6" s="14" t="inlineStr">
        <is>
          <t>Evidencia (EVID-*)</t>
        </is>
      </c>
      <c r="Q6" s="14" t="inlineStr">
        <is>
          <t>Observacoes</t>
        </is>
      </c>
    </row>
    <row r="7">
      <c r="A7" s="15" t="inlineStr">
        <is>
          <t>P2 - Crescimento, Expansao e Diversificacao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>
      <c r="A8" s="17" t="inlineStr">
        <is>
          <t xml:space="preserve">  P2.S2 - Monetizacao da base contratual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</row>
    <row r="9">
      <c r="A9" s="19" t="inlineStr">
        <is>
          <t>INIT-001</t>
        </is>
      </c>
      <c r="B9" s="20" t="inlineStr">
        <is>
          <t>P2</t>
        </is>
      </c>
      <c r="C9" s="20" t="inlineStr">
        <is>
          <t>P2.S2</t>
        </is>
      </c>
      <c r="D9" s="19" t="inlineStr">
        <is>
          <t>M1 - Monetizacao</t>
        </is>
      </c>
      <c r="E9" s="19" t="inlineStr">
        <is>
          <t>Implantar Sala de Situacao Q1 (Pareto Top-14)</t>
        </is>
      </c>
      <c r="F9" s="20" t="inlineStr">
        <is>
          <t>MET</t>
        </is>
      </c>
      <c r="G9" s="20" t="inlineStr">
        <is>
          <t>P0</t>
        </is>
      </c>
      <c r="H9" s="20" t="inlineStr">
        <is>
          <t>OKR-P2</t>
        </is>
      </c>
      <c r="I9" s="19" t="inlineStr">
        <is>
          <t>P2.3, P2.5</t>
        </is>
      </c>
      <c r="J9" s="19" t="inlineStr">
        <is>
          <t>CS + Operacao</t>
        </is>
      </c>
      <c r="K9" s="19" t="inlineStr">
        <is>
          <t>Direcao Executiva</t>
        </is>
      </c>
      <c r="L9" s="19" t="inlineStr">
        <is>
          <t>Fev-Mar/26</t>
        </is>
      </c>
      <c r="M9" s="19" t="inlineStr">
        <is>
          <t>R$ 5-10K</t>
        </is>
      </c>
      <c r="N9" s="20" t="inlineStr">
        <is>
          <t>PLANEJADA</t>
        </is>
      </c>
      <c r="O9" s="20" t="n">
        <v>0</v>
      </c>
      <c r="P9" s="19" t="inlineStr">
        <is>
          <t>EVID-2026-001</t>
        </is>
      </c>
      <c r="Q9" s="19" t="inlineStr"/>
    </row>
    <row r="10">
      <c r="A10" s="19" t="inlineStr">
        <is>
          <t>INIT-OP-154</t>
        </is>
      </c>
      <c r="B10" s="20" t="inlineStr">
        <is>
          <t>P2</t>
        </is>
      </c>
      <c r="C10" s="20" t="inlineStr">
        <is>
          <t>P2.S2</t>
        </is>
      </c>
      <c r="D10" s="19" t="inlineStr">
        <is>
          <t>M1 - Monetizacao</t>
        </is>
      </c>
      <c r="E10" s="19" t="inlineStr">
        <is>
          <t>Estrutura de relatorio de execucao semanal (war room)</t>
        </is>
      </c>
      <c r="F10" s="20" t="inlineStr">
        <is>
          <t>MET</t>
        </is>
      </c>
      <c r="G10" s="20" t="inlineStr">
        <is>
          <t>P0</t>
        </is>
      </c>
      <c r="H10" s="20" t="inlineStr">
        <is>
          <t>OKR-P2</t>
        </is>
      </c>
      <c r="I10" s="19" t="inlineStr">
        <is>
          <t>P2.3</t>
        </is>
      </c>
      <c r="J10" s="19" t="inlineStr">
        <is>
          <t>Operacao</t>
        </is>
      </c>
      <c r="K10" s="19" t="inlineStr">
        <is>
          <t>Direcao Executiva</t>
        </is>
      </c>
      <c r="L10" s="19" t="inlineStr">
        <is>
          <t>Mar/26</t>
        </is>
      </c>
      <c r="M10" s="19" t="inlineStr">
        <is>
          <t>R$ 2-3K</t>
        </is>
      </c>
      <c r="N10" s="20" t="inlineStr">
        <is>
          <t>PLANEJADA</t>
        </is>
      </c>
      <c r="O10" s="20" t="n">
        <v>0</v>
      </c>
      <c r="P10" s="19" t="inlineStr">
        <is>
          <t>EVID-OP-154</t>
        </is>
      </c>
      <c r="Q10" s="19" t="inlineStr"/>
    </row>
    <row r="12">
      <c r="A12" s="21" t="inlineStr">
        <is>
          <t>P3 - Excelencia Operacional e Escala com Margem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</row>
    <row r="13">
      <c r="A13" s="23" t="inlineStr">
        <is>
          <t xml:space="preserve">  P3.S1 - Produtividade e capacidade operacional</t>
        </is>
      </c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</row>
    <row r="14">
      <c r="A14" s="25" t="inlineStr">
        <is>
          <t>INIT-008</t>
        </is>
      </c>
      <c r="B14" s="26" t="inlineStr">
        <is>
          <t>P3</t>
        </is>
      </c>
      <c r="C14" s="26" t="inlineStr">
        <is>
          <t>P3.S1</t>
        </is>
      </c>
      <c r="D14" s="25" t="inlineStr">
        <is>
          <t>M3 - Escala</t>
        </is>
      </c>
      <c r="E14" s="25" t="inlineStr">
        <is>
          <t>Planejamento semanal de capacidade (Q1)</t>
        </is>
      </c>
      <c r="F14" s="26" t="inlineStr">
        <is>
          <t>MET</t>
        </is>
      </c>
      <c r="G14" s="26" t="inlineStr">
        <is>
          <t>P0</t>
        </is>
      </c>
      <c r="H14" s="26" t="inlineStr">
        <is>
          <t>OKR-P3</t>
        </is>
      </c>
      <c r="I14" s="25" t="inlineStr">
        <is>
          <t>P3.2</t>
        </is>
      </c>
      <c r="J14" s="25" t="inlineStr">
        <is>
          <t>Operacao</t>
        </is>
      </c>
      <c r="K14" s="25" t="inlineStr">
        <is>
          <t>Direcao Executiva</t>
        </is>
      </c>
      <c r="L14" s="25" t="inlineStr">
        <is>
          <t>Mar/26</t>
        </is>
      </c>
      <c r="M14" s="25" t="inlineStr">
        <is>
          <t>R$ 3-5K</t>
        </is>
      </c>
      <c r="N14" s="26" t="inlineStr">
        <is>
          <t>PLANEJADA</t>
        </is>
      </c>
      <c r="O14" s="26" t="n">
        <v>0</v>
      </c>
      <c r="P14" s="25" t="inlineStr">
        <is>
          <t>EVID-2026-008</t>
        </is>
      </c>
      <c r="Q14" s="25" t="inlineStr"/>
    </row>
    <row r="15">
      <c r="A15" s="25" t="inlineStr">
        <is>
          <t>INIT-OP-151</t>
        </is>
      </c>
      <c r="B15" s="26" t="inlineStr">
        <is>
          <t>P3</t>
        </is>
      </c>
      <c r="C15" s="26" t="inlineStr">
        <is>
          <t>P3.S1</t>
        </is>
      </c>
      <c r="D15" s="25" t="inlineStr">
        <is>
          <t>M3 - Escala</t>
        </is>
      </c>
      <c r="E15" s="25" t="inlineStr">
        <is>
          <t>Implantacao de agenda e planejamento semanal Q1</t>
        </is>
      </c>
      <c r="F15" s="26" t="inlineStr">
        <is>
          <t>MET</t>
        </is>
      </c>
      <c r="G15" s="26" t="inlineStr">
        <is>
          <t>P0</t>
        </is>
      </c>
      <c r="H15" s="26" t="inlineStr">
        <is>
          <t>OKR-P3</t>
        </is>
      </c>
      <c r="I15" s="25" t="inlineStr">
        <is>
          <t>P3.2</t>
        </is>
      </c>
      <c r="J15" s="25" t="inlineStr">
        <is>
          <t>Operacao</t>
        </is>
      </c>
      <c r="K15" s="25" t="inlineStr">
        <is>
          <t>Direcao Executiva</t>
        </is>
      </c>
      <c r="L15" s="25" t="inlineStr">
        <is>
          <t>Mar/26</t>
        </is>
      </c>
      <c r="M15" s="25" t="inlineStr">
        <is>
          <t>R$ 3-5K</t>
        </is>
      </c>
      <c r="N15" s="26" t="inlineStr">
        <is>
          <t>PLANEJADA</t>
        </is>
      </c>
      <c r="O15" s="26" t="n">
        <v>0</v>
      </c>
      <c r="P15" s="25" t="inlineStr">
        <is>
          <t>EVID-OP-151</t>
        </is>
      </c>
      <c r="Q15" s="25" t="inlineStr"/>
    </row>
    <row r="16">
      <c r="A16" s="25" t="inlineStr">
        <is>
          <t>INIT-OP-156</t>
        </is>
      </c>
      <c r="B16" s="26" t="inlineStr">
        <is>
          <t>P3</t>
        </is>
      </c>
      <c r="C16" s="26" t="inlineStr">
        <is>
          <t>P3.S1</t>
        </is>
      </c>
      <c r="D16" s="25" t="inlineStr">
        <is>
          <t>M3 - Escala</t>
        </is>
      </c>
      <c r="E16" s="25" t="inlineStr">
        <is>
          <t>Planejamento de capacidade Q2/Q3 (pos COO)</t>
        </is>
      </c>
      <c r="F16" s="26" t="inlineStr">
        <is>
          <t>MET</t>
        </is>
      </c>
      <c r="G16" s="26" t="inlineStr">
        <is>
          <t>P1</t>
        </is>
      </c>
      <c r="H16" s="26" t="inlineStr">
        <is>
          <t>OKR-P3</t>
        </is>
      </c>
      <c r="I16" s="25" t="inlineStr">
        <is>
          <t>P3.2</t>
        </is>
      </c>
      <c r="J16" s="25" t="inlineStr">
        <is>
          <t>Operacao (COO)</t>
        </is>
      </c>
      <c r="K16" s="25" t="inlineStr">
        <is>
          <t>Direcao Executiva</t>
        </is>
      </c>
      <c r="L16" s="25" t="inlineStr">
        <is>
          <t>Mai-Jun/26</t>
        </is>
      </c>
      <c r="M16" s="25" t="inlineStr">
        <is>
          <t>R$ 5-10K</t>
        </is>
      </c>
      <c r="N16" s="26" t="inlineStr">
        <is>
          <t>PLANEJADA</t>
        </is>
      </c>
      <c r="O16" s="26" t="n">
        <v>0</v>
      </c>
      <c r="P16" s="25" t="inlineStr">
        <is>
          <t>EVID-OP-156</t>
        </is>
      </c>
      <c r="Q16" s="25" t="inlineStr"/>
    </row>
    <row r="17">
      <c r="A17" s="23" t="inlineStr">
        <is>
          <t xml:space="preserve">  P3.S2 - Qualidade, padronizacao e reducao de retrabalho</t>
        </is>
      </c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</row>
    <row r="18">
      <c r="A18" s="25" t="inlineStr">
        <is>
          <t>INIT-009</t>
        </is>
      </c>
      <c r="B18" s="26" t="inlineStr">
        <is>
          <t>P3</t>
        </is>
      </c>
      <c r="C18" s="26" t="inlineStr">
        <is>
          <t>P3.S2</t>
        </is>
      </c>
      <c r="D18" s="25" t="inlineStr">
        <is>
          <t>M3 - Escala</t>
        </is>
      </c>
      <c r="E18" s="25" t="inlineStr">
        <is>
          <t>Padrao minimo de qualidade e reducao de retrabalho</t>
        </is>
      </c>
      <c r="F18" s="26" t="inlineStr">
        <is>
          <t>ENT</t>
        </is>
      </c>
      <c r="G18" s="26" t="inlineStr">
        <is>
          <t>P0</t>
        </is>
      </c>
      <c r="H18" s="26" t="inlineStr">
        <is>
          <t>OKR-P3</t>
        </is>
      </c>
      <c r="I18" s="25" t="inlineStr">
        <is>
          <t>P3.3, P3.4</t>
        </is>
      </c>
      <c r="J18" s="25" t="inlineStr">
        <is>
          <t>Operacao</t>
        </is>
      </c>
      <c r="K18" s="25" t="inlineStr">
        <is>
          <t>Direcao Executiva</t>
        </is>
      </c>
      <c r="L18" s="25" t="inlineStr">
        <is>
          <t>Mar-Jun/26</t>
        </is>
      </c>
      <c r="M18" s="25" t="inlineStr">
        <is>
          <t>R$ 15-25K</t>
        </is>
      </c>
      <c r="N18" s="26" t="inlineStr">
        <is>
          <t>PLANEJADA</t>
        </is>
      </c>
      <c r="O18" s="26" t="n">
        <v>0</v>
      </c>
      <c r="P18" s="25" t="inlineStr">
        <is>
          <t>EVID-2026-009</t>
        </is>
      </c>
      <c r="Q18" s="25" t="inlineStr"/>
    </row>
    <row r="19">
      <c r="A19" s="25" t="inlineStr">
        <is>
          <t>INIT-OP-152</t>
        </is>
      </c>
      <c r="B19" s="26" t="inlineStr">
        <is>
          <t>P3</t>
        </is>
      </c>
      <c r="C19" s="26" t="inlineStr">
        <is>
          <t>P3.S2</t>
        </is>
      </c>
      <c r="D19" s="25" t="inlineStr">
        <is>
          <t>M3 - Escala</t>
        </is>
      </c>
      <c r="E19" s="25" t="inlineStr">
        <is>
          <t>Baseline de retrabalho por tipo de servico (mar/26)</t>
        </is>
      </c>
      <c r="F19" s="26" t="inlineStr">
        <is>
          <t>SIS</t>
        </is>
      </c>
      <c r="G19" s="26" t="inlineStr">
        <is>
          <t>P0</t>
        </is>
      </c>
      <c r="H19" s="26" t="inlineStr">
        <is>
          <t>OKR-P3</t>
        </is>
      </c>
      <c r="I19" s="25" t="inlineStr">
        <is>
          <t>P3.3</t>
        </is>
      </c>
      <c r="J19" s="25" t="inlineStr">
        <is>
          <t>Operacao</t>
        </is>
      </c>
      <c r="K19" s="25" t="inlineStr">
        <is>
          <t>Direcao Executiva</t>
        </is>
      </c>
      <c r="L19" s="25" t="inlineStr">
        <is>
          <t>Mar/26</t>
        </is>
      </c>
      <c r="M19" s="25" t="inlineStr">
        <is>
          <t>R$ 3-5K</t>
        </is>
      </c>
      <c r="N19" s="26" t="inlineStr">
        <is>
          <t>PLANEJADA</t>
        </is>
      </c>
      <c r="O19" s="26" t="n">
        <v>0</v>
      </c>
      <c r="P19" s="25" t="inlineStr">
        <is>
          <t>EVID-OP-152</t>
        </is>
      </c>
      <c r="Q19" s="25" t="inlineStr"/>
    </row>
    <row r="20">
      <c r="A20" s="25" t="inlineStr">
        <is>
          <t>INIT-OP-153</t>
        </is>
      </c>
      <c r="B20" s="26" t="inlineStr">
        <is>
          <t>P3</t>
        </is>
      </c>
      <c r="C20" s="26" t="inlineStr">
        <is>
          <t>P3.S2</t>
        </is>
      </c>
      <c r="D20" s="25" t="inlineStr">
        <is>
          <t>M3 - Escala</t>
        </is>
      </c>
      <c r="E20" s="25" t="inlineStr">
        <is>
          <t>Padrao minimo de SLA e qualidade por contratante</t>
        </is>
      </c>
      <c r="F20" s="26" t="inlineStr">
        <is>
          <t>ENT</t>
        </is>
      </c>
      <c r="G20" s="26" t="inlineStr">
        <is>
          <t>P0</t>
        </is>
      </c>
      <c r="H20" s="26" t="inlineStr">
        <is>
          <t>OKR-P3</t>
        </is>
      </c>
      <c r="I20" s="25" t="inlineStr">
        <is>
          <t>P3.4</t>
        </is>
      </c>
      <c r="J20" s="25" t="inlineStr">
        <is>
          <t>Operacao</t>
        </is>
      </c>
      <c r="K20" s="25" t="inlineStr">
        <is>
          <t>Direcao Executiva</t>
        </is>
      </c>
      <c r="L20" s="25" t="inlineStr">
        <is>
          <t>Abr/26</t>
        </is>
      </c>
      <c r="M20" s="25" t="inlineStr">
        <is>
          <t>R$ 5-10K</t>
        </is>
      </c>
      <c r="N20" s="26" t="inlineStr">
        <is>
          <t>PLANEJADA</t>
        </is>
      </c>
      <c r="O20" s="26" t="n">
        <v>0</v>
      </c>
      <c r="P20" s="25" t="inlineStr">
        <is>
          <t>EVID-OP-153</t>
        </is>
      </c>
      <c r="Q20" s="25" t="inlineStr"/>
    </row>
    <row r="21">
      <c r="A21" s="25" t="inlineStr">
        <is>
          <t>INIT-OP-157</t>
        </is>
      </c>
      <c r="B21" s="26" t="inlineStr">
        <is>
          <t>P3</t>
        </is>
      </c>
      <c r="C21" s="26" t="inlineStr">
        <is>
          <t>P3.S2</t>
        </is>
      </c>
      <c r="D21" s="25" t="inlineStr">
        <is>
          <t>M3 - Escala</t>
        </is>
      </c>
      <c r="E21" s="25" t="inlineStr">
        <is>
          <t>Mapeamento e padronizacao de processos operacionais</t>
        </is>
      </c>
      <c r="F21" s="26" t="inlineStr">
        <is>
          <t>MET</t>
        </is>
      </c>
      <c r="G21" s="26" t="inlineStr">
        <is>
          <t>P1</t>
        </is>
      </c>
      <c r="H21" s="26" t="inlineStr">
        <is>
          <t>OKR-P3</t>
        </is>
      </c>
      <c r="I21" s="25" t="inlineStr">
        <is>
          <t>P3.3</t>
        </is>
      </c>
      <c r="J21" s="25" t="inlineStr">
        <is>
          <t>Operacao</t>
        </is>
      </c>
      <c r="K21" s="25" t="inlineStr">
        <is>
          <t>Direcao Executiva</t>
        </is>
      </c>
      <c r="L21" s="25" t="inlineStr">
        <is>
          <t>Abr-Jun/26</t>
        </is>
      </c>
      <c r="M21" s="25" t="inlineStr">
        <is>
          <t>R$ 10-15K</t>
        </is>
      </c>
      <c r="N21" s="26" t="inlineStr">
        <is>
          <t>PLANEJADA</t>
        </is>
      </c>
      <c r="O21" s="26" t="n">
        <v>0</v>
      </c>
      <c r="P21" s="25" t="inlineStr">
        <is>
          <t>EVID-OP-157</t>
        </is>
      </c>
      <c r="Q21" s="25" t="inlineStr"/>
    </row>
    <row r="22">
      <c r="A22" s="23" t="inlineStr">
        <is>
          <t xml:space="preserve">  P3.S3 - Gestao de custos e escala com margem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</row>
    <row r="23">
      <c r="A23" s="25" t="inlineStr">
        <is>
          <t>INIT-OP-158</t>
        </is>
      </c>
      <c r="B23" s="26" t="inlineStr">
        <is>
          <t>P3</t>
        </is>
      </c>
      <c r="C23" s="26" t="inlineStr">
        <is>
          <t>P3.S3</t>
        </is>
      </c>
      <c r="D23" s="25" t="inlineStr">
        <is>
          <t>M3 - Escala</t>
        </is>
      </c>
      <c r="E23" s="25" t="inlineStr">
        <is>
          <t>Indicadores de produtividade por equipe/regiao</t>
        </is>
      </c>
      <c r="F23" s="26" t="inlineStr">
        <is>
          <t>SIS</t>
        </is>
      </c>
      <c r="G23" s="26" t="inlineStr">
        <is>
          <t>P1</t>
        </is>
      </c>
      <c r="H23" s="26" t="inlineStr">
        <is>
          <t>OKR-P3</t>
        </is>
      </c>
      <c r="I23" s="25" t="inlineStr">
        <is>
          <t>P3.1</t>
        </is>
      </c>
      <c r="J23" s="25" t="inlineStr">
        <is>
          <t>Operacao</t>
        </is>
      </c>
      <c r="K23" s="25" t="inlineStr">
        <is>
          <t>Direcao Executiva</t>
        </is>
      </c>
      <c r="L23" s="25" t="inlineStr">
        <is>
          <t>Abr-Jun/26</t>
        </is>
      </c>
      <c r="M23" s="25" t="inlineStr">
        <is>
          <t>R$ 8-12K</t>
        </is>
      </c>
      <c r="N23" s="26" t="inlineStr">
        <is>
          <t>PLANEJADA</t>
        </is>
      </c>
      <c r="O23" s="26" t="n">
        <v>0</v>
      </c>
      <c r="P23" s="25" t="inlineStr">
        <is>
          <t>EVID-OP-158</t>
        </is>
      </c>
      <c r="Q23" s="25" t="inlineStr"/>
    </row>
    <row r="24">
      <c r="A24" s="23" t="inlineStr">
        <is>
          <t xml:space="preserve">  P3.S4 - Integracao Op &lt;&gt; CS &lt;&gt; Comercial &lt;&gt; Dados</t>
        </is>
      </c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</row>
    <row r="25">
      <c r="A25" s="25" t="inlineStr">
        <is>
          <t>INIT-005</t>
        </is>
      </c>
      <c r="B25" s="26" t="inlineStr">
        <is>
          <t>P3</t>
        </is>
      </c>
      <c r="C25" s="26" t="inlineStr">
        <is>
          <t>P3.S4</t>
        </is>
      </c>
      <c r="D25" s="25" t="inlineStr">
        <is>
          <t>M1 - Monetizacao</t>
        </is>
      </c>
      <c r="E25" s="25" t="inlineStr">
        <is>
          <t>Integracao formal CS &lt;&gt; Operacao &lt;&gt; Financeiro</t>
        </is>
      </c>
      <c r="F25" s="26" t="inlineStr">
        <is>
          <t>MET</t>
        </is>
      </c>
      <c r="G25" s="26" t="inlineStr">
        <is>
          <t>P0</t>
        </is>
      </c>
      <c r="H25" s="26" t="inlineStr">
        <is>
          <t>OKR-P3</t>
        </is>
      </c>
      <c r="I25" s="25" t="inlineStr">
        <is>
          <t>P3.5</t>
        </is>
      </c>
      <c r="J25" s="25" t="inlineStr">
        <is>
          <t>Operacao + CS</t>
        </is>
      </c>
      <c r="K25" s="25" t="inlineStr">
        <is>
          <t>Direcao Executiva</t>
        </is>
      </c>
      <c r="L25" s="25" t="inlineStr">
        <is>
          <t>Abr/26</t>
        </is>
      </c>
      <c r="M25" s="25" t="inlineStr">
        <is>
          <t>R$ 5-10K</t>
        </is>
      </c>
      <c r="N25" s="26" t="inlineStr">
        <is>
          <t>PLANEJADA</t>
        </is>
      </c>
      <c r="O25" s="26" t="n">
        <v>0</v>
      </c>
      <c r="P25" s="25" t="inlineStr">
        <is>
          <t>EVID-2026-005</t>
        </is>
      </c>
      <c r="Q25" s="25" t="inlineStr"/>
    </row>
    <row r="26">
      <c r="A26" s="25" t="inlineStr">
        <is>
          <t>INIT-OP-155</t>
        </is>
      </c>
      <c r="B26" s="26" t="inlineStr">
        <is>
          <t>P3</t>
        </is>
      </c>
      <c r="C26" s="26" t="inlineStr">
        <is>
          <t>P3.S4</t>
        </is>
      </c>
      <c r="D26" s="25" t="inlineStr">
        <is>
          <t>M3 - Escala</t>
        </is>
      </c>
      <c r="E26" s="25" t="inlineStr">
        <is>
          <t>Protocolo de interface com CS (pontos de passagem)</t>
        </is>
      </c>
      <c r="F26" s="26" t="inlineStr">
        <is>
          <t>MET</t>
        </is>
      </c>
      <c r="G26" s="26" t="inlineStr">
        <is>
          <t>P0</t>
        </is>
      </c>
      <c r="H26" s="26" t="inlineStr">
        <is>
          <t>OKR-P3</t>
        </is>
      </c>
      <c r="I26" s="25" t="inlineStr">
        <is>
          <t>P3.5</t>
        </is>
      </c>
      <c r="J26" s="25" t="inlineStr">
        <is>
          <t>Operacao + CS</t>
        </is>
      </c>
      <c r="K26" s="25" t="inlineStr">
        <is>
          <t>Direcao Executiva</t>
        </is>
      </c>
      <c r="L26" s="25" t="inlineStr">
        <is>
          <t>Abr/26</t>
        </is>
      </c>
      <c r="M26" s="25" t="inlineStr">
        <is>
          <t>R$ 3-5K</t>
        </is>
      </c>
      <c r="N26" s="26" t="inlineStr">
        <is>
          <t>PLANEJADA</t>
        </is>
      </c>
      <c r="O26" s="26" t="n">
        <v>0</v>
      </c>
      <c r="P26" s="25" t="inlineStr">
        <is>
          <t>EVID-OP-155</t>
        </is>
      </c>
      <c r="Q26" s="25" t="inlineStr"/>
    </row>
    <row r="28">
      <c r="A28" s="2" t="inlineStr">
        <is>
          <t>Fonte: DOC 08 v2 + DOC 06 v2 + DOC 04 v2 | PE2026 | Confidencial</t>
        </is>
      </c>
    </row>
  </sheetData>
  <mergeCells count="12">
    <mergeCell ref="A8:Q8"/>
    <mergeCell ref="A22:Q22"/>
    <mergeCell ref="A17:Q17"/>
    <mergeCell ref="A3:Q3"/>
    <mergeCell ref="A12:Q12"/>
    <mergeCell ref="A4:Q4"/>
    <mergeCell ref="A7:Q7"/>
    <mergeCell ref="A24:Q24"/>
    <mergeCell ref="A2:Q2"/>
    <mergeCell ref="A28:Q28"/>
    <mergeCell ref="A1:Q1"/>
    <mergeCell ref="A13:Q13"/>
  </mergeCells>
  <conditionalFormatting sqref="N7:N38">
    <cfRule type="cellIs" priority="1" operator="equal" dxfId="0">
      <formula>"PLANEJADA"</formula>
    </cfRule>
    <cfRule type="cellIs" priority="2" operator="equal" dxfId="1">
      <formula>"EM ANDAMENTO"</formula>
    </cfRule>
    <cfRule type="cellIs" priority="3" operator="equal" dxfId="2">
      <formula>"BLOQUEADA"</formula>
    </cfRule>
    <cfRule type="cellIs" priority="4" operator="equal" dxfId="3">
      <formula>"CONCLUÍDA"</formula>
    </cfRule>
    <cfRule type="cellIs" priority="5" operator="equal" dxfId="4">
      <formula>"CANCELADA"</formula>
    </cfRule>
  </conditionalFormatting>
  <conditionalFormatting sqref="G7:G38">
    <cfRule type="cellIs" priority="6" operator="equal" dxfId="5">
      <formula>"P0"</formula>
    </cfRule>
    <cfRule type="cellIs" priority="7" operator="equal" dxfId="6">
      <formula>"P1"</formula>
    </cfRule>
    <cfRule type="cellIs" priority="8" operator="equal" dxfId="7">
      <formula>"P2"</formula>
    </cfRule>
  </conditionalFormatting>
  <dataValidations count="7">
    <dataValidation sqref="B7:B38" showDropDown="0" showInputMessage="0" showErrorMessage="0" allowBlank="1" error="Selecione um valor da lista" prompt="Escolha uma opcao" type="list">
      <formula1>Config!$E$2:$E$6</formula1>
    </dataValidation>
    <dataValidation sqref="C7:C38" showDropDown="0" showInputMessage="0" showErrorMessage="0" allowBlank="1" error="Selecione um valor da lista" prompt="Escolha uma opcao" type="list">
      <formula1>Config!$F$2:$F$21</formula1>
    </dataValidation>
    <dataValidation sqref="D7:D38" showDropDown="0" showInputMessage="0" showErrorMessage="0" allowBlank="1" error="Selecione um valor da lista" prompt="Escolha uma opcao" type="list">
      <formula1>Config!$D$2:$D$6</formula1>
    </dataValidation>
    <dataValidation sqref="F7:F38" showDropDown="0" showInputMessage="0" showErrorMessage="0" allowBlank="1" error="Selecione um valor da lista" prompt="Escolha uma opcao" type="list">
      <formula1>Config!$B$2:$B$6</formula1>
    </dataValidation>
    <dataValidation sqref="G7:G38" showDropDown="0" showInputMessage="0" showErrorMessage="0" allowBlank="1" error="Selecione um valor da lista" prompt="Escolha uma opcao" type="list">
      <formula1>Config!$C$2:$C$4</formula1>
    </dataValidation>
    <dataValidation sqref="N7:N38" showDropDown="0" showInputMessage="0" showErrorMessage="0" allowBlank="1" error="Selecione um valor da lista" prompt="Escolha uma opcao" type="list">
      <formula1>Config!$A$2:$A$6</formula1>
    </dataValidation>
    <dataValidation sqref="O7:O38" showDropDown="0" showInputMessage="0" showErrorMessage="0" allowBlank="0" error="Valor entre 0 e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2" customWidth="1" min="9" max="9"/>
    <col width="16" customWidth="1" min="10" max="10"/>
    <col width="16" customWidth="1" min="11" max="11"/>
    <col width="22" customWidth="1" min="12" max="12"/>
  </cols>
  <sheetData>
    <row r="1">
      <c r="A1" s="4" t="inlineStr">
        <is>
          <t>Mapa de Rastreabilidade: INIT &gt; KR &gt; OKR &gt; Pilar &gt; EVID</t>
        </is>
      </c>
    </row>
    <row r="3">
      <c r="A3" s="27" t="inlineStr">
        <is>
          <t>INIT</t>
        </is>
      </c>
      <c r="B3" s="27" t="inlineStr">
        <is>
          <t>Titulo</t>
        </is>
      </c>
      <c r="C3" s="27" t="inlineStr">
        <is>
          <t>Motor</t>
        </is>
      </c>
      <c r="D3" s="27" t="inlineStr">
        <is>
          <t>Pilar</t>
        </is>
      </c>
      <c r="E3" s="27" t="inlineStr">
        <is>
          <t>Subpilar</t>
        </is>
      </c>
      <c r="F3" s="27" t="inlineStr">
        <is>
          <t>KR Principal</t>
        </is>
      </c>
      <c r="G3" s="27" t="inlineStr">
        <is>
          <t>OKR</t>
        </is>
      </c>
      <c r="H3" s="27" t="inlineStr">
        <is>
          <t>Tipo</t>
        </is>
      </c>
      <c r="I3" s="27" t="inlineStr">
        <is>
          <t>Prioridade</t>
        </is>
      </c>
      <c r="J3" s="27" t="inlineStr">
        <is>
          <t>Status</t>
        </is>
      </c>
      <c r="K3" s="27" t="inlineStr">
        <is>
          <t>Prazo</t>
        </is>
      </c>
      <c r="L3" s="27" t="inlineStr">
        <is>
          <t>EVID</t>
        </is>
      </c>
    </row>
    <row r="4">
      <c r="A4" s="28" t="inlineStr">
        <is>
          <t>INIT-001</t>
        </is>
      </c>
      <c r="B4" s="28" t="inlineStr">
        <is>
          <t>Implantar Sala de Situacao Q1 (Pareto Top-14)</t>
        </is>
      </c>
      <c r="C4" s="29" t="inlineStr">
        <is>
          <t>M1 - Monetizacao</t>
        </is>
      </c>
      <c r="D4" s="29" t="inlineStr">
        <is>
          <t>P2</t>
        </is>
      </c>
      <c r="E4" s="29" t="inlineStr">
        <is>
          <t>P2.S2</t>
        </is>
      </c>
      <c r="F4" s="28" t="inlineStr">
        <is>
          <t>P2.3, P2.5</t>
        </is>
      </c>
      <c r="G4" s="29" t="inlineStr">
        <is>
          <t>OKR-P2</t>
        </is>
      </c>
      <c r="H4" s="29" t="inlineStr">
        <is>
          <t>MET</t>
        </is>
      </c>
      <c r="I4" s="29" t="inlineStr">
        <is>
          <t>P0</t>
        </is>
      </c>
      <c r="J4" s="29" t="inlineStr">
        <is>
          <t>PLANEJADA</t>
        </is>
      </c>
      <c r="K4" s="28" t="inlineStr">
        <is>
          <t>Fev-Mar/26</t>
        </is>
      </c>
      <c r="L4" s="28" t="inlineStr">
        <is>
          <t>EVID-2026-001</t>
        </is>
      </c>
    </row>
    <row r="5">
      <c r="A5" s="28" t="inlineStr">
        <is>
          <t>INIT-005</t>
        </is>
      </c>
      <c r="B5" s="28" t="inlineStr">
        <is>
          <t>Integracao formal CS &lt;&gt; Operacao &lt;&gt; Financeiro</t>
        </is>
      </c>
      <c r="C5" s="29" t="inlineStr">
        <is>
          <t>M1 - Monetizacao</t>
        </is>
      </c>
      <c r="D5" s="29" t="inlineStr">
        <is>
          <t>P3</t>
        </is>
      </c>
      <c r="E5" s="29" t="inlineStr">
        <is>
          <t>P3.S4</t>
        </is>
      </c>
      <c r="F5" s="28" t="inlineStr">
        <is>
          <t>P3.5</t>
        </is>
      </c>
      <c r="G5" s="29" t="inlineStr">
        <is>
          <t>OKR-P3</t>
        </is>
      </c>
      <c r="H5" s="29" t="inlineStr">
        <is>
          <t>MET</t>
        </is>
      </c>
      <c r="I5" s="29" t="inlineStr">
        <is>
          <t>P0</t>
        </is>
      </c>
      <c r="J5" s="29" t="inlineStr">
        <is>
          <t>PLANEJADA</t>
        </is>
      </c>
      <c r="K5" s="28" t="inlineStr">
        <is>
          <t>Abr/26</t>
        </is>
      </c>
      <c r="L5" s="28" t="inlineStr">
        <is>
          <t>EVID-2026-005</t>
        </is>
      </c>
    </row>
    <row r="6">
      <c r="A6" s="28" t="inlineStr">
        <is>
          <t>INIT-OP-154</t>
        </is>
      </c>
      <c r="B6" s="28" t="inlineStr">
        <is>
          <t>Estrutura de relatorio de execucao semanal (war room)</t>
        </is>
      </c>
      <c r="C6" s="29" t="inlineStr">
        <is>
          <t>M1 - Monetizacao</t>
        </is>
      </c>
      <c r="D6" s="29" t="inlineStr">
        <is>
          <t>P2</t>
        </is>
      </c>
      <c r="E6" s="29" t="inlineStr">
        <is>
          <t>P2.S2</t>
        </is>
      </c>
      <c r="F6" s="28" t="inlineStr">
        <is>
          <t>P2.3</t>
        </is>
      </c>
      <c r="G6" s="29" t="inlineStr">
        <is>
          <t>OKR-P2</t>
        </is>
      </c>
      <c r="H6" s="29" t="inlineStr">
        <is>
          <t>MET</t>
        </is>
      </c>
      <c r="I6" s="29" t="inlineStr">
        <is>
          <t>P0</t>
        </is>
      </c>
      <c r="J6" s="29" t="inlineStr">
        <is>
          <t>PLANEJADA</t>
        </is>
      </c>
      <c r="K6" s="28" t="inlineStr">
        <is>
          <t>Mar/26</t>
        </is>
      </c>
      <c r="L6" s="28" t="inlineStr">
        <is>
          <t>EVID-OP-154</t>
        </is>
      </c>
    </row>
    <row r="7">
      <c r="A7" s="28" t="inlineStr">
        <is>
          <t>INIT-008</t>
        </is>
      </c>
      <c r="B7" s="28" t="inlineStr">
        <is>
          <t>Planejamento semanal de capacidade (Q1)</t>
        </is>
      </c>
      <c r="C7" s="29" t="inlineStr">
        <is>
          <t>M3 - Escala</t>
        </is>
      </c>
      <c r="D7" s="29" t="inlineStr">
        <is>
          <t>P3</t>
        </is>
      </c>
      <c r="E7" s="29" t="inlineStr">
        <is>
          <t>P3.S1</t>
        </is>
      </c>
      <c r="F7" s="28" t="inlineStr">
        <is>
          <t>P3.2</t>
        </is>
      </c>
      <c r="G7" s="29" t="inlineStr">
        <is>
          <t>OKR-P3</t>
        </is>
      </c>
      <c r="H7" s="29" t="inlineStr">
        <is>
          <t>MET</t>
        </is>
      </c>
      <c r="I7" s="29" t="inlineStr">
        <is>
          <t>P0</t>
        </is>
      </c>
      <c r="J7" s="29" t="inlineStr">
        <is>
          <t>PLANEJADA</t>
        </is>
      </c>
      <c r="K7" s="28" t="inlineStr">
        <is>
          <t>Mar/26</t>
        </is>
      </c>
      <c r="L7" s="28" t="inlineStr">
        <is>
          <t>EVID-2026-008</t>
        </is>
      </c>
    </row>
    <row r="8">
      <c r="A8" s="28" t="inlineStr">
        <is>
          <t>INIT-009</t>
        </is>
      </c>
      <c r="B8" s="28" t="inlineStr">
        <is>
          <t>Padrao minimo de qualidade e reducao de retrabalho</t>
        </is>
      </c>
      <c r="C8" s="29" t="inlineStr">
        <is>
          <t>M3 - Escala</t>
        </is>
      </c>
      <c r="D8" s="29" t="inlineStr">
        <is>
          <t>P3</t>
        </is>
      </c>
      <c r="E8" s="29" t="inlineStr">
        <is>
          <t>P3.S2</t>
        </is>
      </c>
      <c r="F8" s="28" t="inlineStr">
        <is>
          <t>P3.3, P3.4</t>
        </is>
      </c>
      <c r="G8" s="29" t="inlineStr">
        <is>
          <t>OKR-P3</t>
        </is>
      </c>
      <c r="H8" s="29" t="inlineStr">
        <is>
          <t>ENT</t>
        </is>
      </c>
      <c r="I8" s="29" t="inlineStr">
        <is>
          <t>P0</t>
        </is>
      </c>
      <c r="J8" s="29" t="inlineStr">
        <is>
          <t>PLANEJADA</t>
        </is>
      </c>
      <c r="K8" s="28" t="inlineStr">
        <is>
          <t>Mar-Jun/26</t>
        </is>
      </c>
      <c r="L8" s="28" t="inlineStr">
        <is>
          <t>EVID-2026-009</t>
        </is>
      </c>
    </row>
    <row r="9">
      <c r="A9" s="28" t="inlineStr">
        <is>
          <t>INIT-OP-151</t>
        </is>
      </c>
      <c r="B9" s="28" t="inlineStr">
        <is>
          <t>Implantacao de agenda e planejamento semanal Q1</t>
        </is>
      </c>
      <c r="C9" s="29" t="inlineStr">
        <is>
          <t>M3 - Escala</t>
        </is>
      </c>
      <c r="D9" s="29" t="inlineStr">
        <is>
          <t>P3</t>
        </is>
      </c>
      <c r="E9" s="29" t="inlineStr">
        <is>
          <t>P3.S1</t>
        </is>
      </c>
      <c r="F9" s="28" t="inlineStr">
        <is>
          <t>P3.2</t>
        </is>
      </c>
      <c r="G9" s="29" t="inlineStr">
        <is>
          <t>OKR-P3</t>
        </is>
      </c>
      <c r="H9" s="29" t="inlineStr">
        <is>
          <t>MET</t>
        </is>
      </c>
      <c r="I9" s="29" t="inlineStr">
        <is>
          <t>P0</t>
        </is>
      </c>
      <c r="J9" s="29" t="inlineStr">
        <is>
          <t>PLANEJADA</t>
        </is>
      </c>
      <c r="K9" s="28" t="inlineStr">
        <is>
          <t>Mar/26</t>
        </is>
      </c>
      <c r="L9" s="28" t="inlineStr">
        <is>
          <t>EVID-OP-151</t>
        </is>
      </c>
    </row>
    <row r="10">
      <c r="A10" s="28" t="inlineStr">
        <is>
          <t>INIT-OP-152</t>
        </is>
      </c>
      <c r="B10" s="28" t="inlineStr">
        <is>
          <t>Baseline de retrabalho por tipo de servico (mar/26)</t>
        </is>
      </c>
      <c r="C10" s="29" t="inlineStr">
        <is>
          <t>M3 - Escala</t>
        </is>
      </c>
      <c r="D10" s="29" t="inlineStr">
        <is>
          <t>P3</t>
        </is>
      </c>
      <c r="E10" s="29" t="inlineStr">
        <is>
          <t>P3.S2</t>
        </is>
      </c>
      <c r="F10" s="28" t="inlineStr">
        <is>
          <t>P3.3</t>
        </is>
      </c>
      <c r="G10" s="29" t="inlineStr">
        <is>
          <t>OKR-P3</t>
        </is>
      </c>
      <c r="H10" s="29" t="inlineStr">
        <is>
          <t>SIS</t>
        </is>
      </c>
      <c r="I10" s="29" t="inlineStr">
        <is>
          <t>P0</t>
        </is>
      </c>
      <c r="J10" s="29" t="inlineStr">
        <is>
          <t>PLANEJADA</t>
        </is>
      </c>
      <c r="K10" s="28" t="inlineStr">
        <is>
          <t>Mar/26</t>
        </is>
      </c>
      <c r="L10" s="28" t="inlineStr">
        <is>
          <t>EVID-OP-152</t>
        </is>
      </c>
    </row>
    <row r="11">
      <c r="A11" s="28" t="inlineStr">
        <is>
          <t>INIT-OP-153</t>
        </is>
      </c>
      <c r="B11" s="28" t="inlineStr">
        <is>
          <t>Padrao minimo de SLA e qualidade por contratante</t>
        </is>
      </c>
      <c r="C11" s="29" t="inlineStr">
        <is>
          <t>M3 - Escala</t>
        </is>
      </c>
      <c r="D11" s="29" t="inlineStr">
        <is>
          <t>P3</t>
        </is>
      </c>
      <c r="E11" s="29" t="inlineStr">
        <is>
          <t>P3.S2</t>
        </is>
      </c>
      <c r="F11" s="28" t="inlineStr">
        <is>
          <t>P3.4</t>
        </is>
      </c>
      <c r="G11" s="29" t="inlineStr">
        <is>
          <t>OKR-P3</t>
        </is>
      </c>
      <c r="H11" s="29" t="inlineStr">
        <is>
          <t>ENT</t>
        </is>
      </c>
      <c r="I11" s="29" t="inlineStr">
        <is>
          <t>P0</t>
        </is>
      </c>
      <c r="J11" s="29" t="inlineStr">
        <is>
          <t>PLANEJADA</t>
        </is>
      </c>
      <c r="K11" s="28" t="inlineStr">
        <is>
          <t>Abr/26</t>
        </is>
      </c>
      <c r="L11" s="28" t="inlineStr">
        <is>
          <t>EVID-OP-153</t>
        </is>
      </c>
    </row>
    <row r="12">
      <c r="A12" s="28" t="inlineStr">
        <is>
          <t>INIT-OP-155</t>
        </is>
      </c>
      <c r="B12" s="28" t="inlineStr">
        <is>
          <t>Protocolo de interface com CS (pontos de passagem)</t>
        </is>
      </c>
      <c r="C12" s="29" t="inlineStr">
        <is>
          <t>M3 - Escala</t>
        </is>
      </c>
      <c r="D12" s="29" t="inlineStr">
        <is>
          <t>P3</t>
        </is>
      </c>
      <c r="E12" s="29" t="inlineStr">
        <is>
          <t>P3.S4</t>
        </is>
      </c>
      <c r="F12" s="28" t="inlineStr">
        <is>
          <t>P3.5</t>
        </is>
      </c>
      <c r="G12" s="29" t="inlineStr">
        <is>
          <t>OKR-P3</t>
        </is>
      </c>
      <c r="H12" s="29" t="inlineStr">
        <is>
          <t>MET</t>
        </is>
      </c>
      <c r="I12" s="29" t="inlineStr">
        <is>
          <t>P0</t>
        </is>
      </c>
      <c r="J12" s="29" t="inlineStr">
        <is>
          <t>PLANEJADA</t>
        </is>
      </c>
      <c r="K12" s="28" t="inlineStr">
        <is>
          <t>Abr/26</t>
        </is>
      </c>
      <c r="L12" s="28" t="inlineStr">
        <is>
          <t>EVID-OP-155</t>
        </is>
      </c>
    </row>
    <row r="13">
      <c r="A13" s="28" t="inlineStr">
        <is>
          <t>INIT-OP-156</t>
        </is>
      </c>
      <c r="B13" s="28" t="inlineStr">
        <is>
          <t>Planejamento de capacidade Q2/Q3 (pos COO)</t>
        </is>
      </c>
      <c r="C13" s="29" t="inlineStr">
        <is>
          <t>M3 - Escala</t>
        </is>
      </c>
      <c r="D13" s="29" t="inlineStr">
        <is>
          <t>P3</t>
        </is>
      </c>
      <c r="E13" s="29" t="inlineStr">
        <is>
          <t>P3.S1</t>
        </is>
      </c>
      <c r="F13" s="28" t="inlineStr">
        <is>
          <t>P3.2</t>
        </is>
      </c>
      <c r="G13" s="29" t="inlineStr">
        <is>
          <t>OKR-P3</t>
        </is>
      </c>
      <c r="H13" s="29" t="inlineStr">
        <is>
          <t>MET</t>
        </is>
      </c>
      <c r="I13" s="29" t="inlineStr">
        <is>
          <t>P1</t>
        </is>
      </c>
      <c r="J13" s="29" t="inlineStr">
        <is>
          <t>PLANEJADA</t>
        </is>
      </c>
      <c r="K13" s="28" t="inlineStr">
        <is>
          <t>Mai-Jun/26</t>
        </is>
      </c>
      <c r="L13" s="28" t="inlineStr">
        <is>
          <t>EVID-OP-156</t>
        </is>
      </c>
    </row>
    <row r="14">
      <c r="A14" s="28" t="inlineStr">
        <is>
          <t>INIT-OP-157</t>
        </is>
      </c>
      <c r="B14" s="28" t="inlineStr">
        <is>
          <t>Mapeamento e padronizacao de processos operacionais</t>
        </is>
      </c>
      <c r="C14" s="29" t="inlineStr">
        <is>
          <t>M3 - Escala</t>
        </is>
      </c>
      <c r="D14" s="29" t="inlineStr">
        <is>
          <t>P3</t>
        </is>
      </c>
      <c r="E14" s="29" t="inlineStr">
        <is>
          <t>P3.S2</t>
        </is>
      </c>
      <c r="F14" s="28" t="inlineStr">
        <is>
          <t>P3.3</t>
        </is>
      </c>
      <c r="G14" s="29" t="inlineStr">
        <is>
          <t>OKR-P3</t>
        </is>
      </c>
      <c r="H14" s="29" t="inlineStr">
        <is>
          <t>MET</t>
        </is>
      </c>
      <c r="I14" s="29" t="inlineStr">
        <is>
          <t>P1</t>
        </is>
      </c>
      <c r="J14" s="29" t="inlineStr">
        <is>
          <t>PLANEJADA</t>
        </is>
      </c>
      <c r="K14" s="28" t="inlineStr">
        <is>
          <t>Abr-Jun/26</t>
        </is>
      </c>
      <c r="L14" s="28" t="inlineStr">
        <is>
          <t>EVID-OP-157</t>
        </is>
      </c>
    </row>
    <row r="15">
      <c r="A15" s="28" t="inlineStr">
        <is>
          <t>INIT-OP-158</t>
        </is>
      </c>
      <c r="B15" s="28" t="inlineStr">
        <is>
          <t>Indicadores de produtividade por equipe/regiao</t>
        </is>
      </c>
      <c r="C15" s="29" t="inlineStr">
        <is>
          <t>M3 - Escala</t>
        </is>
      </c>
      <c r="D15" s="29" t="inlineStr">
        <is>
          <t>P3</t>
        </is>
      </c>
      <c r="E15" s="29" t="inlineStr">
        <is>
          <t>P3.S3</t>
        </is>
      </c>
      <c r="F15" s="28" t="inlineStr">
        <is>
          <t>P3.1</t>
        </is>
      </c>
      <c r="G15" s="29" t="inlineStr">
        <is>
          <t>OKR-P3</t>
        </is>
      </c>
      <c r="H15" s="29" t="inlineStr">
        <is>
          <t>SIS</t>
        </is>
      </c>
      <c r="I15" s="29" t="inlineStr">
        <is>
          <t>P1</t>
        </is>
      </c>
      <c r="J15" s="29" t="inlineStr">
        <is>
          <t>PLANEJADA</t>
        </is>
      </c>
      <c r="K15" s="28" t="inlineStr">
        <is>
          <t>Abr-Jun/26</t>
        </is>
      </c>
      <c r="L15" s="28" t="inlineStr">
        <is>
          <t>EVID-OP-158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2026-03-23T16:55:55Z</dcterms:created>
  <dcterms:modified xsi:type="dcterms:W3CDTF">2026-03-23T16:55:55Z</dcterms:modified>
</cp:coreProperties>
</file>