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onfig" sheetId="2" state="hidden" r:id="rId2"/>
    <sheet name="Plano de Acao" sheetId="3" state="visible" r:id="rId3"/>
    <sheet name="Rastreabilida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4">
    <font>
      <name val="Calibri"/>
      <family val="2"/>
      <color theme="1"/>
      <sz val="11"/>
      <scheme val="minor"/>
    </font>
    <font>
      <b val="1"/>
    </font>
    <font>
      <name val="Calibri"/>
      <b val="1"/>
      <color rgb="001F3864"/>
      <sz val="18"/>
    </font>
    <font>
      <name val="Calibri"/>
      <i val="1"/>
      <color rgb="00888888"/>
      <sz val="10"/>
    </font>
    <font>
      <name val="Calibri"/>
      <sz val="11"/>
    </font>
    <font>
      <name val="Calibri"/>
      <b val="1"/>
      <sz val="12"/>
    </font>
    <font>
      <name val="Calibri"/>
      <color rgb="00666666"/>
      <sz val="11"/>
    </font>
    <font>
      <name val="Calibri"/>
      <b val="1"/>
      <color rgb="001F3864"/>
      <sz val="28"/>
    </font>
    <font>
      <name val="Calibri"/>
      <b val="1"/>
      <color rgb="00FF0000"/>
      <sz val="11"/>
    </font>
    <font>
      <name val="Calibri"/>
      <b val="1"/>
      <color rgb="00FF0000"/>
      <sz val="14"/>
    </font>
    <font>
      <name val="Calibri"/>
      <color rgb="00888888"/>
      <sz val="10"/>
    </font>
    <font>
      <name val="Calibri"/>
      <b val="1"/>
      <sz val="14"/>
    </font>
    <font>
      <name val="Calibri"/>
      <b val="1"/>
      <color rgb="00FFFFFF"/>
      <sz val="11"/>
    </font>
    <font>
      <name val="Calibri"/>
      <b val="1"/>
      <color rgb="00FFFFFF"/>
      <sz val="12"/>
    </font>
  </fonts>
  <fills count="1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2F5496"/>
        <bgColor rgb="002F5496"/>
      </patternFill>
    </fill>
    <fill>
      <patternFill patternType="solid">
        <fgColor rgb="002E75B6"/>
        <bgColor rgb="002E75B6"/>
      </patternFill>
    </fill>
    <fill>
      <patternFill patternType="solid">
        <fgColor rgb="005B9BD5"/>
        <bgColor rgb="005B9BD5"/>
      </patternFill>
    </fill>
    <fill>
      <patternFill patternType="solid">
        <fgColor rgb="00DAEEF3"/>
        <bgColor rgb="00DAEEF3"/>
      </patternFill>
    </fill>
    <fill>
      <patternFill patternType="solid">
        <fgColor rgb="007030A0"/>
        <bgColor rgb="007030A0"/>
      </patternFill>
    </fill>
    <fill>
      <patternFill patternType="solid">
        <fgColor rgb="008B5FC7"/>
        <bgColor rgb="008B5FC7"/>
      </patternFill>
    </fill>
    <fill>
      <patternFill patternType="solid">
        <fgColor rgb="00E8D5F5"/>
        <bgColor rgb="00E8D5F5"/>
      </patternFill>
    </fill>
    <fill>
      <patternFill patternType="solid">
        <fgColor rgb="00843C0C"/>
        <bgColor rgb="00843C0C"/>
      </patternFill>
    </fill>
    <fill>
      <patternFill patternType="solid">
        <fgColor rgb="00BF6B30"/>
        <bgColor rgb="00BF6B30"/>
      </patternFill>
    </fill>
    <fill>
      <patternFill patternType="solid">
        <fgColor rgb="00FBE5D6"/>
        <bgColor rgb="00FBE5D6"/>
      </patternFill>
    </fill>
    <fill>
      <patternFill patternType="solid">
        <fgColor rgb="001F3864"/>
        <bgColor rgb="001F3864"/>
      </patternFill>
    </fill>
  </fills>
  <borders count="3">
    <border>
      <left/>
      <right/>
      <top/>
      <bottom/>
      <diagonal/>
    </border>
    <border>
      <left style="medium">
        <color rgb="00D9D9D9"/>
      </left>
      <right style="medium">
        <color rgb="00D9D9D9"/>
      </right>
      <top style="medium">
        <color rgb="00D9D9D9"/>
      </top>
      <bottom style="medium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164" fontId="4" fillId="0" borderId="0" pivotButton="0" quotePrefix="0" xfId="0"/>
    <xf numFmtId="0" fontId="10" fillId="0" borderId="0" pivotButton="0" quotePrefix="0" xfId="0"/>
    <xf numFmtId="0" fontId="1" fillId="0" borderId="0" pivotButton="0" quotePrefix="0" xfId="0"/>
    <xf numFmtId="0" fontId="11" fillId="0" borderId="0" applyAlignment="1" pivotButton="0" quotePrefix="0" xfId="0">
      <alignment horizontal="left" vertical="center"/>
    </xf>
    <xf numFmtId="0" fontId="12" fillId="3" borderId="2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2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4" fillId="6" borderId="2" applyAlignment="1" pivotButton="0" quotePrefix="0" xfId="0">
      <alignment vertical="center" wrapText="1"/>
    </xf>
    <xf numFmtId="0" fontId="4" fillId="6" borderId="2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4" fillId="9" borderId="2" applyAlignment="1" pivotButton="0" quotePrefix="0" xfId="0">
      <alignment vertical="center" wrapText="1"/>
    </xf>
    <xf numFmtId="0" fontId="4" fillId="9" borderId="2" applyAlignment="1" pivotButton="0" quotePrefix="0" xfId="0">
      <alignment horizontal="center" vertical="center" wrapText="1"/>
    </xf>
    <xf numFmtId="0" fontId="13" fillId="10" borderId="0" applyAlignment="1" pivotButton="0" quotePrefix="0" xfId="0">
      <alignment horizontal="left" vertical="center"/>
    </xf>
    <xf numFmtId="0" fontId="0" fillId="10" borderId="0" pivotButton="0" quotePrefix="0" xfId="0"/>
    <xf numFmtId="0" fontId="12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4" fillId="12" borderId="2" applyAlignment="1" pivotButton="0" quotePrefix="0" xfId="0">
      <alignment vertical="center" wrapText="1"/>
    </xf>
    <xf numFmtId="0" fontId="4" fillId="12" borderId="2" applyAlignment="1" pivotButton="0" quotePrefix="0" xfId="0">
      <alignment horizontal="center" vertical="center" wrapText="1"/>
    </xf>
    <xf numFmtId="0" fontId="12" fillId="1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8">
    <dxf>
      <fill>
        <patternFill patternType="solid">
          <fgColor rgb="00F2F2F2"/>
          <bgColor rgb="00F2F2F2"/>
        </patternFill>
      </fill>
    </dxf>
    <dxf>
      <fill>
        <patternFill patternType="solid">
          <fgColor rgb="00DAEEF3"/>
          <bgColor rgb="00DAEEF3"/>
        </patternFill>
      </fill>
    </dxf>
    <dxf>
      <fill>
        <patternFill patternType="solid">
          <fgColor rgb="00FCD5D5"/>
          <bgColor rgb="00FCD5D5"/>
        </patternFill>
      </fill>
    </dxf>
    <dxf>
      <fill>
        <patternFill patternType="solid">
          <fgColor rgb="00E2EFDA"/>
          <bgColor rgb="00E2EFDA"/>
        </patternFill>
      </fill>
    </dxf>
    <dxf>
      <fill>
        <patternFill patternType="solid">
          <fgColor rgb="00D9D9D9"/>
          <bgColor rgb="00D9D9D9"/>
        </patternFill>
      </fill>
    </dxf>
    <dxf>
      <font>
        <name val="Calibri"/>
        <b val="1"/>
        <color rgb="00FFFFFF"/>
        <sz val="11"/>
      </font>
      <fill>
        <patternFill patternType="solid">
          <fgColor rgb="00FF6B6B"/>
          <bgColor rgb="00FF6B6B"/>
        </patternFill>
      </fill>
    </dxf>
    <dxf>
      <font>
        <name val="Calibri"/>
        <b val="1"/>
        <color rgb="00FFFFFF"/>
        <sz val="11"/>
      </font>
      <fill>
        <patternFill patternType="solid">
          <fgColor rgb="00FFA94D"/>
          <bgColor rgb="00FFA94D"/>
        </patternFill>
      </fill>
    </dxf>
    <dxf>
      <font>
        <name val="Calibri"/>
        <b val="1"/>
        <color rgb="00333333"/>
        <sz val="11"/>
      </font>
      <fill>
        <patternFill patternType="solid">
          <fgColor rgb="00FFD43B"/>
          <bgColor rgb="00FFD43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0" customHeight="1">
      <c r="A1" s="1" t="inlineStr">
        <is>
          <t>PE2026 - Plano de Acao: Marketing</t>
        </is>
      </c>
    </row>
    <row r="2">
      <c r="A2" s="2" t="inlineStr">
        <is>
          <t>Confidencial - Uso interno da Direcao | Mar/2026</t>
        </is>
      </c>
    </row>
    <row r="3" ht="30" customHeight="1">
      <c r="A3" s="3" t="inlineStr">
        <is>
          <t>Mandato: Gerar evidencia e posicionamento que ativam demanda, sustentam permanencia e preparam o Techdengue como marca transacionavel.</t>
        </is>
      </c>
    </row>
    <row r="4">
      <c r="A4" s="4" t="inlineStr">
        <is>
          <t>OKRs: P2 (primario) - P4 (secundario)  |  Envelope: R$ 1.280K</t>
        </is>
      </c>
    </row>
    <row r="6" ht="20" customHeight="1">
      <c r="A6" s="5" t="inlineStr">
        <is>
          <t>TOTAL ACOES</t>
        </is>
      </c>
      <c r="B6" s="6" t="n"/>
      <c r="C6" s="5" t="inlineStr">
        <is>
          <t>EM ANDAMENTO</t>
        </is>
      </c>
      <c r="D6" s="6" t="n"/>
      <c r="E6" s="5" t="inlineStr">
        <is>
          <t>BLOQUEADAS</t>
        </is>
      </c>
      <c r="F6" s="6" t="n"/>
      <c r="G6" s="5" t="inlineStr">
        <is>
          <t>CONCLUIDAS</t>
        </is>
      </c>
      <c r="H6" s="6" t="n"/>
    </row>
    <row r="7" ht="45" customHeight="1">
      <c r="A7" s="7">
        <f>COUNTA('Plano de Acao'!A7:A200)-COUNTBLANK('Plano de Acao'!A7:A200)</f>
        <v/>
      </c>
      <c r="B7" s="6" t="n"/>
      <c r="C7" s="7">
        <f>COUNTIF('Plano de Acao'!N:N,"EM ANDAMENTO")</f>
        <v/>
      </c>
      <c r="D7" s="6" t="n"/>
      <c r="E7" s="7">
        <f>COUNTIF('Plano de Acao'!N:N,"BLOQUEADA")</f>
        <v/>
      </c>
      <c r="F7" s="6" t="n"/>
      <c r="G7" s="7">
        <f>COUNTIF('Plano de Acao'!N:N,"CONCLUIDA")</f>
        <v/>
      </c>
      <c r="H7" s="6" t="n"/>
    </row>
    <row r="9">
      <c r="A9" s="8" t="inlineStr">
        <is>
          <t>ACOES P0 ABERTAS:</t>
        </is>
      </c>
      <c r="C9" s="9">
        <f>COUNTIFS('Plano de Acao'!G:G,"P0",'Plano de Acao'!N:N,"&lt;&gt;CONCLUIDA",'Plano de Acao'!N:N,"&lt;&gt;CANCELADA")</f>
        <v/>
      </c>
    </row>
    <row r="11">
      <c r="A11" s="4" t="inlineStr">
        <is>
          <t>PROGRESSO POR PILAR</t>
        </is>
      </c>
    </row>
    <row r="12">
      <c r="A12" s="3" t="inlineStr">
        <is>
          <t>P1 - Governanca, Separacao Aero x TD e Padrao</t>
        </is>
      </c>
      <c r="E12" s="10">
        <f>IFERROR(COUNTIFS('Plano de Acao'!B:B,"P1",'Plano de Acao'!N:N,"CONCLUIDA")/COUNTIF('Plano de Acao'!B:B,"P1")*100,0)</f>
        <v/>
      </c>
      <c r="F12" s="11">
        <f>COUNTIF('Plano de Acao'!B:B,"P1")</f>
        <v/>
      </c>
    </row>
    <row r="13">
      <c r="A13" s="3" t="inlineStr">
        <is>
          <t>P2 - Crescimento, Expansao e Diversificacao</t>
        </is>
      </c>
      <c r="E13" s="10">
        <f>IFERROR(COUNTIFS('Plano de Acao'!B:B,"P2",'Plano de Acao'!N:N,"CONCLUIDA")/COUNTIF('Plano de Acao'!B:B,"P2")*100,0)</f>
        <v/>
      </c>
      <c r="F13" s="11">
        <f>COUNTIF('Plano de Acao'!B:B,"P2")</f>
        <v/>
      </c>
    </row>
    <row r="14">
      <c r="A14" s="3" t="inlineStr">
        <is>
          <t>P3 - Excelencia Operacional e Escala com Marg</t>
        </is>
      </c>
      <c r="E14" s="10">
        <f>IFERROR(COUNTIFS('Plano de Acao'!B:B,"P3",'Plano de Acao'!N:N,"CONCLUIDA")/COUNTIF('Plano de Acao'!B:B,"P3")*100,0)</f>
        <v/>
      </c>
      <c r="F14" s="11">
        <f>COUNTIF('Plano de Acao'!B:B,"P3")</f>
        <v/>
      </c>
    </row>
    <row r="15">
      <c r="A15" s="3" t="inlineStr">
        <is>
          <t>P4 - Produto, Dados e IA como Vantagem Defens</t>
        </is>
      </c>
      <c r="E15" s="10">
        <f>IFERROR(COUNTIFS('Plano de Acao'!B:B,"P4",'Plano de Acao'!N:N,"CONCLUIDA")/COUNTIF('Plano de Acao'!B:B,"P4")*100,0)</f>
        <v/>
      </c>
      <c r="F15" s="11">
        <f>COUNTIF('Plano de Acao'!B:B,"P4")</f>
        <v/>
      </c>
    </row>
    <row r="16">
      <c r="A16" s="3" t="inlineStr">
        <is>
          <t>P5 - Pessoas, Lideranca e Capacidade Intelect</t>
        </is>
      </c>
      <c r="E16" s="10">
        <f>IFERROR(COUNTIFS('Plano de Acao'!B:B,"P5",'Plano de Acao'!N:N,"CONCLUIDA")/COUNTIF('Plano de Acao'!B:B,"P5")*100,0)</f>
        <v/>
      </c>
      <c r="F16" s="11">
        <f>COUNTIF('Plano de Acao'!B:B,"P5")</f>
        <v/>
      </c>
    </row>
    <row r="18">
      <c r="A18" s="2" t="inlineStr">
        <is>
          <t>P0 = Critico 90 dias (vermelho) | P1 = Estrategico do ano (laranja) | P2 = Melhoria (amarelo)</t>
        </is>
      </c>
    </row>
  </sheetData>
  <mergeCells count="14">
    <mergeCell ref="A18:H18"/>
    <mergeCell ref="A4:H4"/>
    <mergeCell ref="A3:H3"/>
    <mergeCell ref="E6:F6"/>
    <mergeCell ref="C6:D6"/>
    <mergeCell ref="C7:D7"/>
    <mergeCell ref="A7:B7"/>
    <mergeCell ref="G7:H7"/>
    <mergeCell ref="E7:F7"/>
    <mergeCell ref="A2:H2"/>
    <mergeCell ref="G6:H6"/>
    <mergeCell ref="A1:H1"/>
    <mergeCell ref="A9:B9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Status</t>
        </is>
      </c>
      <c r="B1" s="12" t="inlineStr">
        <is>
          <t>Tipo</t>
        </is>
      </c>
      <c r="C1" s="12" t="inlineStr">
        <is>
          <t>Prioridade</t>
        </is>
      </c>
      <c r="D1" s="12" t="inlineStr">
        <is>
          <t>Motor</t>
        </is>
      </c>
      <c r="E1" s="12" t="inlineStr">
        <is>
          <t>Pilar</t>
        </is>
      </c>
      <c r="F1" s="12" t="inlineStr">
        <is>
          <t>Subpilar</t>
        </is>
      </c>
    </row>
    <row r="2">
      <c r="A2" t="inlineStr">
        <is>
          <t>PLANEJADA</t>
        </is>
      </c>
      <c r="B2" t="inlineStr">
        <is>
          <t>ENT</t>
        </is>
      </c>
      <c r="C2" t="inlineStr">
        <is>
          <t>P0</t>
        </is>
      </c>
      <c r="D2" t="inlineStr">
        <is>
          <t>M1 - Monetizacao</t>
        </is>
      </c>
      <c r="E2" t="inlineStr">
        <is>
          <t>P1</t>
        </is>
      </c>
      <c r="F2" t="inlineStr">
        <is>
          <t>P1.S1</t>
        </is>
      </c>
    </row>
    <row r="3">
      <c r="A3" t="inlineStr">
        <is>
          <t>EM ANDAMENTO</t>
        </is>
      </c>
      <c r="B3" t="inlineStr">
        <is>
          <t>MET</t>
        </is>
      </c>
      <c r="C3" t="inlineStr">
        <is>
          <t>P1</t>
        </is>
      </c>
      <c r="D3" t="inlineStr">
        <is>
          <t>M2 - Governanca</t>
        </is>
      </c>
      <c r="E3" t="inlineStr">
        <is>
          <t>P2</t>
        </is>
      </c>
      <c r="F3" t="inlineStr">
        <is>
          <t>P1.S2</t>
        </is>
      </c>
    </row>
    <row r="4">
      <c r="A4" t="inlineStr">
        <is>
          <t>BLOQUEADA</t>
        </is>
      </c>
      <c r="B4" t="inlineStr">
        <is>
          <t>SIS</t>
        </is>
      </c>
      <c r="C4" t="inlineStr">
        <is>
          <t>P2</t>
        </is>
      </c>
      <c r="D4" t="inlineStr">
        <is>
          <t>M3 - Escala</t>
        </is>
      </c>
      <c r="E4" t="inlineStr">
        <is>
          <t>P3</t>
        </is>
      </c>
      <c r="F4" t="inlineStr">
        <is>
          <t>P1.S3</t>
        </is>
      </c>
    </row>
    <row r="5">
      <c r="A5" t="inlineStr">
        <is>
          <t>CONCLUIDA</t>
        </is>
      </c>
      <c r="B5" t="inlineStr">
        <is>
          <t>ORG</t>
        </is>
      </c>
      <c r="D5" t="inlineStr">
        <is>
          <t>M4 - Produto/IA</t>
        </is>
      </c>
      <c r="E5" t="inlineStr">
        <is>
          <t>P4</t>
        </is>
      </c>
      <c r="F5" t="inlineStr">
        <is>
          <t>P1.S4</t>
        </is>
      </c>
    </row>
    <row r="6">
      <c r="A6" t="inlineStr">
        <is>
          <t>CANCELADA</t>
        </is>
      </c>
      <c r="B6" t="inlineStr">
        <is>
          <t>COM</t>
        </is>
      </c>
      <c r="D6" t="inlineStr">
        <is>
          <t>M5 - Pessoas</t>
        </is>
      </c>
      <c r="E6" t="inlineStr">
        <is>
          <t>P5</t>
        </is>
      </c>
      <c r="F6" t="inlineStr">
        <is>
          <t>P2.S1</t>
        </is>
      </c>
    </row>
    <row r="7">
      <c r="F7" t="inlineStr">
        <is>
          <t>P2.S2</t>
        </is>
      </c>
    </row>
    <row r="8">
      <c r="F8" t="inlineStr">
        <is>
          <t>P2.S3</t>
        </is>
      </c>
    </row>
    <row r="9">
      <c r="F9" t="inlineStr">
        <is>
          <t>P2.S4</t>
        </is>
      </c>
    </row>
    <row r="10">
      <c r="F10" t="inlineStr">
        <is>
          <t>P3.S1</t>
        </is>
      </c>
    </row>
    <row r="11">
      <c r="F11" t="inlineStr">
        <is>
          <t>P3.S2</t>
        </is>
      </c>
    </row>
    <row r="12">
      <c r="F12" t="inlineStr">
        <is>
          <t>P3.S3</t>
        </is>
      </c>
    </row>
    <row r="13">
      <c r="F13" t="inlineStr">
        <is>
          <t>P3.S4</t>
        </is>
      </c>
    </row>
    <row r="14">
      <c r="F14" t="inlineStr">
        <is>
          <t>P4.S1</t>
        </is>
      </c>
    </row>
    <row r="15">
      <c r="F15" t="inlineStr">
        <is>
          <t>P4.S2</t>
        </is>
      </c>
    </row>
    <row r="16">
      <c r="F16" t="inlineStr">
        <is>
          <t>P4.S3</t>
        </is>
      </c>
    </row>
    <row r="17">
      <c r="F17" t="inlineStr">
        <is>
          <t>P4.S4</t>
        </is>
      </c>
    </row>
    <row r="18">
      <c r="F18" t="inlineStr">
        <is>
          <t>P5.S1</t>
        </is>
      </c>
    </row>
    <row r="19">
      <c r="F19" t="inlineStr">
        <is>
          <t>P5.S2</t>
        </is>
      </c>
    </row>
    <row r="20">
      <c r="F20" t="inlineStr">
        <is>
          <t>P5.S3</t>
        </is>
      </c>
    </row>
    <row r="21">
      <c r="F21" t="inlineStr">
        <is>
          <t>P5.S4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8" customWidth="1" min="4" max="4"/>
    <col width="50" customWidth="1" min="5" max="5"/>
    <col width="8" customWidth="1" min="6" max="6"/>
    <col width="12" customWidth="1" min="7" max="7"/>
    <col width="10" customWidth="1" min="8" max="8"/>
    <col width="14" customWidth="1" min="9" max="9"/>
    <col width="22" customWidth="1" min="10" max="10"/>
    <col width="22" customWidth="1" min="11" max="11"/>
    <col width="16" customWidth="1" min="12" max="12"/>
    <col width="18" customWidth="1" min="13" max="13"/>
    <col width="16" customWidth="1" min="14" max="14"/>
    <col width="12" customWidth="1" min="15" max="15"/>
    <col width="22" customWidth="1" min="16" max="16"/>
    <col width="40" customWidth="1" min="17" max="17"/>
  </cols>
  <sheetData>
    <row r="1">
      <c r="A1" s="13" t="inlineStr">
        <is>
          <t>PE2026 - Plano de Acao: Marketing (11-B)</t>
        </is>
      </c>
    </row>
    <row r="2">
      <c r="A2" s="3" t="inlineStr">
        <is>
          <t>Mandato: Gerar evidencia e posicionamento que ativam demanda, sustentam permanencia e preparam o Techdengue como marca transacionavel.</t>
        </is>
      </c>
    </row>
    <row r="3">
      <c r="A3" s="3" t="inlineStr">
        <is>
          <t>OKRs: P2 (primario) - P4 (secundario)  |  Envelope: R$ 1.280K  |  Versao 1.0 - Mar/2026</t>
        </is>
      </c>
    </row>
    <row r="4">
      <c r="A4" s="2" t="inlineStr">
        <is>
          <t>Legenda: P0 = Critico 90 dias | P1 = Estrategico do ano | P2 = Melhoria | Status: preencha apenas Status, Progresso e Observacoes</t>
        </is>
      </c>
    </row>
    <row r="6">
      <c r="A6" s="14" t="inlineStr">
        <is>
          <t>Codigo</t>
        </is>
      </c>
      <c r="B6" s="14" t="inlineStr">
        <is>
          <t>Pilar</t>
        </is>
      </c>
      <c r="C6" s="14" t="inlineStr">
        <is>
          <t>Subpilar</t>
        </is>
      </c>
      <c r="D6" s="14" t="inlineStr">
        <is>
          <t>Motor</t>
        </is>
      </c>
      <c r="E6" s="14" t="inlineStr">
        <is>
          <t>Titulo da Acao</t>
        </is>
      </c>
      <c r="F6" s="14" t="inlineStr">
        <is>
          <t>Tipo</t>
        </is>
      </c>
      <c r="G6" s="14" t="inlineStr">
        <is>
          <t>Prioridade</t>
        </is>
      </c>
      <c r="H6" s="14" t="inlineStr">
        <is>
          <t>OKR</t>
        </is>
      </c>
      <c r="I6" s="14" t="inlineStr">
        <is>
          <t>KR Principal</t>
        </is>
      </c>
      <c r="J6" s="14" t="inlineStr">
        <is>
          <t>Responsavel</t>
        </is>
      </c>
      <c r="K6" s="14" t="inlineStr">
        <is>
          <t>Patrocinador</t>
        </is>
      </c>
      <c r="L6" s="14" t="inlineStr">
        <is>
          <t>Prazo</t>
        </is>
      </c>
      <c r="M6" s="14" t="inlineStr">
        <is>
          <t>Custo (R$)</t>
        </is>
      </c>
      <c r="N6" s="14" t="inlineStr">
        <is>
          <t>Status</t>
        </is>
      </c>
      <c r="O6" s="14" t="inlineStr">
        <is>
          <t>Progresso %</t>
        </is>
      </c>
      <c r="P6" s="14" t="inlineStr">
        <is>
          <t>Evidencia (EVID-*)</t>
        </is>
      </c>
      <c r="Q6" s="14" t="inlineStr">
        <is>
          <t>Observacoes</t>
        </is>
      </c>
    </row>
    <row r="7">
      <c r="A7" s="15" t="inlineStr">
        <is>
          <t>P2 - Crescimento, Expansao e Diversificacao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</row>
    <row r="8">
      <c r="A8" s="17" t="inlineStr">
        <is>
          <t xml:space="preserve">  P2.S1 - Expansao TD (geografica e institucional)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</row>
    <row r="9">
      <c r="A9" s="19" t="inlineStr">
        <is>
          <t>INIT-MKT-101</t>
        </is>
      </c>
      <c r="B9" s="20" t="inlineStr">
        <is>
          <t>P2</t>
        </is>
      </c>
      <c r="C9" s="20" t="inlineStr">
        <is>
          <t>P2.S1</t>
        </is>
      </c>
      <c r="D9" s="19" t="inlineStr">
        <is>
          <t>M1 - Monetizacao</t>
        </is>
      </c>
      <c r="E9" s="19" t="inlineStr">
        <is>
          <t>Plano de comunicacao institucional 2026</t>
        </is>
      </c>
      <c r="F9" s="20" t="inlineStr">
        <is>
          <t>MET</t>
        </is>
      </c>
      <c r="G9" s="20" t="inlineStr">
        <is>
          <t>P0</t>
        </is>
      </c>
      <c r="H9" s="20" t="inlineStr">
        <is>
          <t>OKR-P2</t>
        </is>
      </c>
      <c r="I9" s="19" t="inlineStr">
        <is>
          <t>P2.5</t>
        </is>
      </c>
      <c r="J9" s="19" t="inlineStr">
        <is>
          <t>Marketing</t>
        </is>
      </c>
      <c r="K9" s="19" t="inlineStr">
        <is>
          <t>Direcao Executiva</t>
        </is>
      </c>
      <c r="L9" s="19" t="inlineStr">
        <is>
          <t>Mar/26</t>
        </is>
      </c>
      <c r="M9" s="19" t="inlineStr">
        <is>
          <t>R$ 5-10K</t>
        </is>
      </c>
      <c r="N9" s="20" t="inlineStr">
        <is>
          <t>PLANEJADA</t>
        </is>
      </c>
      <c r="O9" s="20" t="n">
        <v>0</v>
      </c>
      <c r="P9" s="19" t="inlineStr">
        <is>
          <t>EVID-MKT-101</t>
        </is>
      </c>
      <c r="Q9" s="19" t="inlineStr"/>
    </row>
    <row r="10">
      <c r="A10" s="19" t="inlineStr">
        <is>
          <t>INIT-MKT-102</t>
        </is>
      </c>
      <c r="B10" s="20" t="inlineStr">
        <is>
          <t>P2</t>
        </is>
      </c>
      <c r="C10" s="20" t="inlineStr">
        <is>
          <t>P2.S1</t>
        </is>
      </c>
      <c r="D10" s="19" t="inlineStr">
        <is>
          <t>M1 - Monetizacao</t>
        </is>
      </c>
      <c r="E10" s="19" t="inlineStr">
        <is>
          <t>Calendario de feiras e eventos (envelope R$ 500K)</t>
        </is>
      </c>
      <c r="F10" s="20" t="inlineStr">
        <is>
          <t>COM</t>
        </is>
      </c>
      <c r="G10" s="20" t="inlineStr">
        <is>
          <t>P0</t>
        </is>
      </c>
      <c r="H10" s="20" t="inlineStr">
        <is>
          <t>OKR-P2</t>
        </is>
      </c>
      <c r="I10" s="19" t="inlineStr">
        <is>
          <t>P2.x</t>
        </is>
      </c>
      <c r="J10" s="19" t="inlineStr">
        <is>
          <t>Marketing</t>
        </is>
      </c>
      <c r="K10" s="19" t="inlineStr">
        <is>
          <t>Direcao Executiva</t>
        </is>
      </c>
      <c r="L10" s="19" t="inlineStr">
        <is>
          <t>Mar/26</t>
        </is>
      </c>
      <c r="M10" s="19" t="inlineStr">
        <is>
          <t>R$ 500K (parte)</t>
        </is>
      </c>
      <c r="N10" s="20" t="inlineStr">
        <is>
          <t>PLANEJADA</t>
        </is>
      </c>
      <c r="O10" s="20" t="n">
        <v>0</v>
      </c>
      <c r="P10" s="19" t="inlineStr">
        <is>
          <t>EVID-MKT-102</t>
        </is>
      </c>
      <c r="Q10" s="19" t="inlineStr"/>
    </row>
    <row r="11">
      <c r="A11" s="19" t="inlineStr">
        <is>
          <t>INIT-017</t>
        </is>
      </c>
      <c r="B11" s="20" t="inlineStr">
        <is>
          <t>P2</t>
        </is>
      </c>
      <c r="C11" s="20" t="inlineStr">
        <is>
          <t>P2.S1</t>
        </is>
      </c>
      <c r="D11" s="19" t="inlineStr">
        <is>
          <t>M1 - Monetizacao</t>
        </is>
      </c>
      <c r="E11" s="19" t="inlineStr">
        <is>
          <t>Estrategia de feiras e eventos (envelope MKT)</t>
        </is>
      </c>
      <c r="F11" s="20" t="inlineStr">
        <is>
          <t>COM</t>
        </is>
      </c>
      <c r="G11" s="20" t="inlineStr">
        <is>
          <t>P1</t>
        </is>
      </c>
      <c r="H11" s="20" t="inlineStr">
        <is>
          <t>OKR-P2</t>
        </is>
      </c>
      <c r="I11" s="19" t="inlineStr">
        <is>
          <t>P2.x</t>
        </is>
      </c>
      <c r="J11" s="19" t="inlineStr">
        <is>
          <t>Marketing</t>
        </is>
      </c>
      <c r="K11" s="19" t="inlineStr">
        <is>
          <t>Direcao Executiva</t>
        </is>
      </c>
      <c r="L11" s="19" t="inlineStr">
        <is>
          <t>Mar-Dez/26</t>
        </is>
      </c>
      <c r="M11" s="19" t="inlineStr">
        <is>
          <t>R$ 500K</t>
        </is>
      </c>
      <c r="N11" s="20" t="inlineStr">
        <is>
          <t>PLANEJADA</t>
        </is>
      </c>
      <c r="O11" s="20" t="n">
        <v>0</v>
      </c>
      <c r="P11" s="19" t="inlineStr">
        <is>
          <t>EVID-2026-017</t>
        </is>
      </c>
      <c r="Q11" s="19" t="inlineStr"/>
    </row>
    <row r="12">
      <c r="A12" s="19" t="inlineStr">
        <is>
          <t>INIT-018</t>
        </is>
      </c>
      <c r="B12" s="20" t="inlineStr">
        <is>
          <t>P2</t>
        </is>
      </c>
      <c r="C12" s="20" t="inlineStr">
        <is>
          <t>P2.S1</t>
        </is>
      </c>
      <c r="D12" s="19" t="inlineStr">
        <is>
          <t>M1 - Monetizacao</t>
        </is>
      </c>
      <c r="E12" s="19" t="inlineStr">
        <is>
          <t>Campanha 10 anos Techdengue</t>
        </is>
      </c>
      <c r="F12" s="20" t="inlineStr">
        <is>
          <t>COM</t>
        </is>
      </c>
      <c r="G12" s="20" t="inlineStr">
        <is>
          <t>P1</t>
        </is>
      </c>
      <c r="H12" s="20" t="inlineStr">
        <is>
          <t>OKR-P2</t>
        </is>
      </c>
      <c r="I12" s="19" t="inlineStr">
        <is>
          <t>P2.x</t>
        </is>
      </c>
      <c r="J12" s="19" t="inlineStr">
        <is>
          <t>Marketing</t>
        </is>
      </c>
      <c r="K12" s="19" t="inlineStr">
        <is>
          <t>Direcao Executiva</t>
        </is>
      </c>
      <c r="L12" s="19" t="inlineStr">
        <is>
          <t>Q2/26</t>
        </is>
      </c>
      <c r="M12" s="19" t="inlineStr">
        <is>
          <t>R$ 80-100K</t>
        </is>
      </c>
      <c r="N12" s="20" t="inlineStr">
        <is>
          <t>PLANEJADA</t>
        </is>
      </c>
      <c r="O12" s="20" t="n">
        <v>0</v>
      </c>
      <c r="P12" s="19" t="inlineStr">
        <is>
          <t>EVID-2026-018</t>
        </is>
      </c>
      <c r="Q12" s="19" t="inlineStr"/>
    </row>
    <row r="13">
      <c r="A13" s="19" t="inlineStr">
        <is>
          <t>INIT-MKT-105</t>
        </is>
      </c>
      <c r="B13" s="20" t="inlineStr">
        <is>
          <t>P2</t>
        </is>
      </c>
      <c r="C13" s="20" t="inlineStr">
        <is>
          <t>P2.S1</t>
        </is>
      </c>
      <c r="D13" s="19" t="inlineStr">
        <is>
          <t>M1 - Monetizacao</t>
        </is>
      </c>
      <c r="E13" s="19" t="inlineStr">
        <is>
          <t>Campanha 10 anos Techdengue (execucao)</t>
        </is>
      </c>
      <c r="F13" s="20" t="inlineStr">
        <is>
          <t>COM</t>
        </is>
      </c>
      <c r="G13" s="20" t="inlineStr">
        <is>
          <t>P1</t>
        </is>
      </c>
      <c r="H13" s="20" t="inlineStr">
        <is>
          <t>OKR-P2</t>
        </is>
      </c>
      <c r="I13" s="19" t="inlineStr">
        <is>
          <t>P2.x</t>
        </is>
      </c>
      <c r="J13" s="19" t="inlineStr">
        <is>
          <t>Marketing</t>
        </is>
      </c>
      <c r="K13" s="19" t="inlineStr">
        <is>
          <t>Direcao Executiva</t>
        </is>
      </c>
      <c r="L13" s="19" t="inlineStr">
        <is>
          <t>Q2/26</t>
        </is>
      </c>
      <c r="M13" s="19" t="inlineStr">
        <is>
          <t>R$ 80-100K</t>
        </is>
      </c>
      <c r="N13" s="20" t="inlineStr">
        <is>
          <t>PLANEJADA</t>
        </is>
      </c>
      <c r="O13" s="20" t="n">
        <v>0</v>
      </c>
      <c r="P13" s="19" t="inlineStr">
        <is>
          <t>EVID-MKT-105</t>
        </is>
      </c>
      <c r="Q13" s="19" t="inlineStr"/>
    </row>
    <row r="14">
      <c r="A14" s="17" t="inlineStr">
        <is>
          <t xml:space="preserve">  P2.S4 - Estrategia comercial e canais</t>
        </is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</row>
    <row r="15">
      <c r="A15" s="19" t="inlineStr">
        <is>
          <t>INIT-MKT-106</t>
        </is>
      </c>
      <c r="B15" s="20" t="inlineStr">
        <is>
          <t>P2</t>
        </is>
      </c>
      <c r="C15" s="20" t="inlineStr">
        <is>
          <t>P2.S4</t>
        </is>
      </c>
      <c r="D15" s="19" t="inlineStr">
        <is>
          <t>M1 - Monetizacao</t>
        </is>
      </c>
      <c r="E15" s="19" t="inlineStr">
        <is>
          <t>Material de posicionamento institucional atualizado</t>
        </is>
      </c>
      <c r="F15" s="20" t="inlineStr">
        <is>
          <t>COM</t>
        </is>
      </c>
      <c r="G15" s="20" t="inlineStr">
        <is>
          <t>P1</t>
        </is>
      </c>
      <c r="H15" s="20" t="inlineStr">
        <is>
          <t>OKR-P2</t>
        </is>
      </c>
      <c r="I15" s="19" t="inlineStr">
        <is>
          <t>P2.5</t>
        </is>
      </c>
      <c r="J15" s="19" t="inlineStr">
        <is>
          <t>Marketing</t>
        </is>
      </c>
      <c r="K15" s="19" t="inlineStr">
        <is>
          <t>Direcao Executiva</t>
        </is>
      </c>
      <c r="L15" s="19" t="inlineStr">
        <is>
          <t>Abr-Jun/26</t>
        </is>
      </c>
      <c r="M15" s="19" t="inlineStr">
        <is>
          <t>R$ 10-15K</t>
        </is>
      </c>
      <c r="N15" s="20" t="inlineStr">
        <is>
          <t>PLANEJADA</t>
        </is>
      </c>
      <c r="O15" s="20" t="n">
        <v>0</v>
      </c>
      <c r="P15" s="19" t="inlineStr">
        <is>
          <t>EVID-MKT-106</t>
        </is>
      </c>
      <c r="Q15" s="19" t="inlineStr"/>
    </row>
    <row r="17">
      <c r="A17" s="21" t="inlineStr">
        <is>
          <t>P4 - Produto, Dados e IA como Vantagem Defensavel</t>
        </is>
      </c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</row>
    <row r="18">
      <c r="A18" s="23" t="inlineStr">
        <is>
          <t xml:space="preserve">  P4.S2 - Dados como evidencia (prova de valor)</t>
        </is>
      </c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</row>
    <row r="19">
      <c r="A19" s="25" t="inlineStr">
        <is>
          <t>INIT-004</t>
        </is>
      </c>
      <c r="B19" s="26" t="inlineStr">
        <is>
          <t>P4</t>
        </is>
      </c>
      <c r="C19" s="26" t="inlineStr">
        <is>
          <t>P4.S2</t>
        </is>
      </c>
      <c r="D19" s="25" t="inlineStr">
        <is>
          <t>M1 - Monetizacao</t>
        </is>
      </c>
      <c r="E19" s="25" t="inlineStr">
        <is>
          <t>Pacote mensal de prova de valor para Top-14</t>
        </is>
      </c>
      <c r="F19" s="26" t="inlineStr">
        <is>
          <t>COM</t>
        </is>
      </c>
      <c r="G19" s="26" t="inlineStr">
        <is>
          <t>P0</t>
        </is>
      </c>
      <c r="H19" s="26" t="inlineStr">
        <is>
          <t>OKR-P4</t>
        </is>
      </c>
      <c r="I19" s="25" t="inlineStr">
        <is>
          <t>P4.1, P4.2</t>
        </is>
      </c>
      <c r="J19" s="25" t="inlineStr">
        <is>
          <t>Marketing + CS</t>
        </is>
      </c>
      <c r="K19" s="25" t="inlineStr">
        <is>
          <t>Direcao Executiva</t>
        </is>
      </c>
      <c r="L19" s="25" t="inlineStr">
        <is>
          <t>Mar-Jun/26</t>
        </is>
      </c>
      <c r="M19" s="25" t="inlineStr">
        <is>
          <t>R$ 10-20K</t>
        </is>
      </c>
      <c r="N19" s="26" t="inlineStr">
        <is>
          <t>PLANEJADA</t>
        </is>
      </c>
      <c r="O19" s="26" t="n">
        <v>0</v>
      </c>
      <c r="P19" s="25" t="inlineStr">
        <is>
          <t>EVID-2026-004</t>
        </is>
      </c>
      <c r="Q19" s="25" t="inlineStr"/>
    </row>
    <row r="20">
      <c r="A20" s="25" t="inlineStr">
        <is>
          <t>INIT-MKT-104</t>
        </is>
      </c>
      <c r="B20" s="26" t="inlineStr">
        <is>
          <t>P4</t>
        </is>
      </c>
      <c r="C20" s="26" t="inlineStr">
        <is>
          <t>P4.S2</t>
        </is>
      </c>
      <c r="D20" s="25" t="inlineStr">
        <is>
          <t>M1 - Monetizacao</t>
        </is>
      </c>
      <c r="E20" s="25" t="inlineStr">
        <is>
          <t>Pacote mensal de prova de valor (co-exec P&amp;D/CS)</t>
        </is>
      </c>
      <c r="F20" s="26" t="inlineStr">
        <is>
          <t>COM</t>
        </is>
      </c>
      <c r="G20" s="26" t="inlineStr">
        <is>
          <t>P0</t>
        </is>
      </c>
      <c r="H20" s="26" t="inlineStr">
        <is>
          <t>OKR-P4</t>
        </is>
      </c>
      <c r="I20" s="25" t="inlineStr">
        <is>
          <t>P4.1</t>
        </is>
      </c>
      <c r="J20" s="25" t="inlineStr">
        <is>
          <t>Marketing + CS</t>
        </is>
      </c>
      <c r="K20" s="25" t="inlineStr">
        <is>
          <t>Direcao Executiva</t>
        </is>
      </c>
      <c r="L20" s="25" t="inlineStr">
        <is>
          <t>Mar-Jun/26</t>
        </is>
      </c>
      <c r="M20" s="25" t="inlineStr">
        <is>
          <t>R$ 8-15K</t>
        </is>
      </c>
      <c r="N20" s="26" t="inlineStr">
        <is>
          <t>PLANEJADA</t>
        </is>
      </c>
      <c r="O20" s="26" t="n">
        <v>0</v>
      </c>
      <c r="P20" s="25" t="inlineStr">
        <is>
          <t>EVID-MKT-104</t>
        </is>
      </c>
      <c r="Q20" s="25" t="inlineStr"/>
    </row>
    <row r="21">
      <c r="A21" s="25" t="inlineStr">
        <is>
          <t>INIT-MKT-107</t>
        </is>
      </c>
      <c r="B21" s="26" t="inlineStr">
        <is>
          <t>P4</t>
        </is>
      </c>
      <c r="C21" s="26" t="inlineStr">
        <is>
          <t>P4.S2</t>
        </is>
      </c>
      <c r="D21" s="25" t="inlineStr">
        <is>
          <t>M1 - Monetizacao</t>
        </is>
      </c>
      <c r="E21" s="25" t="inlineStr">
        <is>
          <t>Estrategia de conteudo digital (blog, redes, relatorios)</t>
        </is>
      </c>
      <c r="F21" s="26" t="inlineStr">
        <is>
          <t>MET</t>
        </is>
      </c>
      <c r="G21" s="26" t="inlineStr">
        <is>
          <t>P1</t>
        </is>
      </c>
      <c r="H21" s="26" t="inlineStr">
        <is>
          <t>OKR-P4</t>
        </is>
      </c>
      <c r="I21" s="25" t="inlineStr">
        <is>
          <t>P4.1</t>
        </is>
      </c>
      <c r="J21" s="25" t="inlineStr">
        <is>
          <t>Marketing</t>
        </is>
      </c>
      <c r="K21" s="25" t="inlineStr">
        <is>
          <t>Direcao Executiva</t>
        </is>
      </c>
      <c r="L21" s="25" t="inlineStr">
        <is>
          <t>Abr-Dez/26</t>
        </is>
      </c>
      <c r="M21" s="25" t="inlineStr">
        <is>
          <t>R$ 10-20K</t>
        </is>
      </c>
      <c r="N21" s="26" t="inlineStr">
        <is>
          <t>PLANEJADA</t>
        </is>
      </c>
      <c r="O21" s="26" t="n">
        <v>0</v>
      </c>
      <c r="P21" s="25" t="inlineStr">
        <is>
          <t>EVID-MKT-107</t>
        </is>
      </c>
      <c r="Q21" s="25" t="inlineStr"/>
    </row>
    <row r="23">
      <c r="A23" s="27" t="inlineStr">
        <is>
          <t>P5 - Pessoas, Lideranca e Capacidade Intelectual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</row>
    <row r="24">
      <c r="A24" s="29" t="inlineStr">
        <is>
          <t xml:space="preserve">  P5.S2 - Talentos e densidade intelectual</t>
        </is>
      </c>
      <c r="B24" s="30" t="n"/>
      <c r="C24" s="30" t="n"/>
      <c r="D24" s="3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  <c r="O24" s="30" t="n"/>
      <c r="P24" s="30" t="n"/>
      <c r="Q24" s="30" t="n"/>
    </row>
    <row r="25">
      <c r="A25" s="31" t="inlineStr">
        <is>
          <t>INIT-MKT-103</t>
        </is>
      </c>
      <c r="B25" s="32" t="inlineStr">
        <is>
          <t>P5</t>
        </is>
      </c>
      <c r="C25" s="32" t="inlineStr">
        <is>
          <t>P5.S2</t>
        </is>
      </c>
      <c r="D25" s="31" t="inlineStr">
        <is>
          <t>M5 - Pessoas</t>
        </is>
      </c>
      <c r="E25" s="31" t="inlineStr">
        <is>
          <t>Contratacao Marketing #1 e #2</t>
        </is>
      </c>
      <c r="F25" s="32" t="inlineStr">
        <is>
          <t>ORG</t>
        </is>
      </c>
      <c r="G25" s="32" t="inlineStr">
        <is>
          <t>P0</t>
        </is>
      </c>
      <c r="H25" s="32" t="inlineStr">
        <is>
          <t>OKR-P5</t>
        </is>
      </c>
      <c r="I25" s="31" t="inlineStr">
        <is>
          <t>P5.4</t>
        </is>
      </c>
      <c r="J25" s="31" t="inlineStr">
        <is>
          <t>RH + Marketing</t>
        </is>
      </c>
      <c r="K25" s="31" t="inlineStr">
        <is>
          <t>Direcao Executiva</t>
        </is>
      </c>
      <c r="L25" s="31" t="inlineStr">
        <is>
          <t>Mar-Abr/26</t>
        </is>
      </c>
      <c r="M25" s="31" t="inlineStr">
        <is>
          <t>R$ 95-152K/ano</t>
        </is>
      </c>
      <c r="N25" s="32" t="inlineStr">
        <is>
          <t>PLANEJADA</t>
        </is>
      </c>
      <c r="O25" s="32" t="n">
        <v>0</v>
      </c>
      <c r="P25" s="31" t="inlineStr">
        <is>
          <t>EVID-MKT-103</t>
        </is>
      </c>
      <c r="Q25" s="31" t="inlineStr"/>
    </row>
    <row r="27">
      <c r="A27" s="2" t="inlineStr">
        <is>
          <t>Fonte: DOC 08 v2 + DOC 06 v2 + DOC 04 v2 | PE2026 | Confidencial</t>
        </is>
      </c>
    </row>
  </sheetData>
  <mergeCells count="12">
    <mergeCell ref="A8:Q8"/>
    <mergeCell ref="A14:Q14"/>
    <mergeCell ref="A17:Q17"/>
    <mergeCell ref="A18:Q18"/>
    <mergeCell ref="A27:Q27"/>
    <mergeCell ref="A3:Q3"/>
    <mergeCell ref="A4:Q4"/>
    <mergeCell ref="A7:Q7"/>
    <mergeCell ref="A24:Q24"/>
    <mergeCell ref="A2:Q2"/>
    <mergeCell ref="A1:Q1"/>
    <mergeCell ref="A23:Q23"/>
  </mergeCells>
  <conditionalFormatting sqref="N7:N37">
    <cfRule type="cellIs" priority="1" operator="equal" dxfId="0">
      <formula>"PLANEJADA"</formula>
    </cfRule>
    <cfRule type="cellIs" priority="2" operator="equal" dxfId="1">
      <formula>"EM ANDAMENTO"</formula>
    </cfRule>
    <cfRule type="cellIs" priority="3" operator="equal" dxfId="2">
      <formula>"BLOQUEADA"</formula>
    </cfRule>
    <cfRule type="cellIs" priority="4" operator="equal" dxfId="3">
      <formula>"CONCLUÍDA"</formula>
    </cfRule>
    <cfRule type="cellIs" priority="5" operator="equal" dxfId="4">
      <formula>"CANCELADA"</formula>
    </cfRule>
  </conditionalFormatting>
  <conditionalFormatting sqref="G7:G37">
    <cfRule type="cellIs" priority="6" operator="equal" dxfId="5">
      <formula>"P0"</formula>
    </cfRule>
    <cfRule type="cellIs" priority="7" operator="equal" dxfId="6">
      <formula>"P1"</formula>
    </cfRule>
    <cfRule type="cellIs" priority="8" operator="equal" dxfId="7">
      <formula>"P2"</formula>
    </cfRule>
  </conditionalFormatting>
  <dataValidations count="7">
    <dataValidation sqref="B7:B37" showDropDown="0" showInputMessage="0" showErrorMessage="0" allowBlank="1" error="Selecione um valor da lista" prompt="Escolha uma opcao" type="list">
      <formula1>Config!$E$2:$E$6</formula1>
    </dataValidation>
    <dataValidation sqref="C7:C37" showDropDown="0" showInputMessage="0" showErrorMessage="0" allowBlank="1" error="Selecione um valor da lista" prompt="Escolha uma opcao" type="list">
      <formula1>Config!$F$2:$F$21</formula1>
    </dataValidation>
    <dataValidation sqref="D7:D37" showDropDown="0" showInputMessage="0" showErrorMessage="0" allowBlank="1" error="Selecione um valor da lista" prompt="Escolha uma opcao" type="list">
      <formula1>Config!$D$2:$D$6</formula1>
    </dataValidation>
    <dataValidation sqref="F7:F37" showDropDown="0" showInputMessage="0" showErrorMessage="0" allowBlank="1" error="Selecione um valor da lista" prompt="Escolha uma opcao" type="list">
      <formula1>Config!$B$2:$B$6</formula1>
    </dataValidation>
    <dataValidation sqref="G7:G37" showDropDown="0" showInputMessage="0" showErrorMessage="0" allowBlank="1" error="Selecione um valor da lista" prompt="Escolha uma opcao" type="list">
      <formula1>Config!$C$2:$C$4</formula1>
    </dataValidation>
    <dataValidation sqref="N7:N37" showDropDown="0" showInputMessage="0" showErrorMessage="0" allowBlank="1" error="Selecione um valor da lista" prompt="Escolha uma opcao" type="list">
      <formula1>Config!$A$2:$A$6</formula1>
    </dataValidation>
    <dataValidation sqref="O7:O37" showDropDown="0" showInputMessage="0" showErrorMessage="0" allowBlank="0" error="Valor entre 0 e 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20" customWidth="1" min="3" max="3"/>
    <col width="8" customWidth="1" min="4" max="4"/>
    <col width="10" customWidth="1" min="5" max="5"/>
    <col width="14" customWidth="1" min="6" max="6"/>
    <col width="10" customWidth="1" min="7" max="7"/>
    <col width="8" customWidth="1" min="8" max="8"/>
    <col width="12" customWidth="1" min="9" max="9"/>
    <col width="16" customWidth="1" min="10" max="10"/>
    <col width="16" customWidth="1" min="11" max="11"/>
    <col width="22" customWidth="1" min="12" max="12"/>
  </cols>
  <sheetData>
    <row r="1">
      <c r="A1" s="4" t="inlineStr">
        <is>
          <t>Mapa de Rastreabilidade: INIT &gt; KR &gt; OKR &gt; Pilar &gt; EVID</t>
        </is>
      </c>
    </row>
    <row r="3">
      <c r="A3" s="33" t="inlineStr">
        <is>
          <t>INIT</t>
        </is>
      </c>
      <c r="B3" s="33" t="inlineStr">
        <is>
          <t>Titulo</t>
        </is>
      </c>
      <c r="C3" s="33" t="inlineStr">
        <is>
          <t>Motor</t>
        </is>
      </c>
      <c r="D3" s="33" t="inlineStr">
        <is>
          <t>Pilar</t>
        </is>
      </c>
      <c r="E3" s="33" t="inlineStr">
        <is>
          <t>Subpilar</t>
        </is>
      </c>
      <c r="F3" s="33" t="inlineStr">
        <is>
          <t>KR Principal</t>
        </is>
      </c>
      <c r="G3" s="33" t="inlineStr">
        <is>
          <t>OKR</t>
        </is>
      </c>
      <c r="H3" s="33" t="inlineStr">
        <is>
          <t>Tipo</t>
        </is>
      </c>
      <c r="I3" s="33" t="inlineStr">
        <is>
          <t>Prioridade</t>
        </is>
      </c>
      <c r="J3" s="33" t="inlineStr">
        <is>
          <t>Status</t>
        </is>
      </c>
      <c r="K3" s="33" t="inlineStr">
        <is>
          <t>Prazo</t>
        </is>
      </c>
      <c r="L3" s="33" t="inlineStr">
        <is>
          <t>EVID</t>
        </is>
      </c>
    </row>
    <row r="4">
      <c r="A4" s="34" t="inlineStr">
        <is>
          <t>INIT-004</t>
        </is>
      </c>
      <c r="B4" s="34" t="inlineStr">
        <is>
          <t>Pacote mensal de prova de valor para Top-14</t>
        </is>
      </c>
      <c r="C4" s="35" t="inlineStr">
        <is>
          <t>M1 - Monetizacao</t>
        </is>
      </c>
      <c r="D4" s="35" t="inlineStr">
        <is>
          <t>P4</t>
        </is>
      </c>
      <c r="E4" s="35" t="inlineStr">
        <is>
          <t>P4.S2</t>
        </is>
      </c>
      <c r="F4" s="34" t="inlineStr">
        <is>
          <t>P4.1, P4.2</t>
        </is>
      </c>
      <c r="G4" s="35" t="inlineStr">
        <is>
          <t>OKR-P4</t>
        </is>
      </c>
      <c r="H4" s="35" t="inlineStr">
        <is>
          <t>COM</t>
        </is>
      </c>
      <c r="I4" s="35" t="inlineStr">
        <is>
          <t>P0</t>
        </is>
      </c>
      <c r="J4" s="35" t="inlineStr">
        <is>
          <t>PLANEJADA</t>
        </is>
      </c>
      <c r="K4" s="34" t="inlineStr">
        <is>
          <t>Mar-Jun/26</t>
        </is>
      </c>
      <c r="L4" s="34" t="inlineStr">
        <is>
          <t>EVID-2026-004</t>
        </is>
      </c>
    </row>
    <row r="5">
      <c r="A5" s="34" t="inlineStr">
        <is>
          <t>INIT-MKT-101</t>
        </is>
      </c>
      <c r="B5" s="34" t="inlineStr">
        <is>
          <t>Plano de comunicacao institucional 2026</t>
        </is>
      </c>
      <c r="C5" s="35" t="inlineStr">
        <is>
          <t>M1 - Monetizacao</t>
        </is>
      </c>
      <c r="D5" s="35" t="inlineStr">
        <is>
          <t>P2</t>
        </is>
      </c>
      <c r="E5" s="35" t="inlineStr">
        <is>
          <t>P2.S1</t>
        </is>
      </c>
      <c r="F5" s="34" t="inlineStr">
        <is>
          <t>P2.5</t>
        </is>
      </c>
      <c r="G5" s="35" t="inlineStr">
        <is>
          <t>OKR-P2</t>
        </is>
      </c>
      <c r="H5" s="35" t="inlineStr">
        <is>
          <t>MET</t>
        </is>
      </c>
      <c r="I5" s="35" t="inlineStr">
        <is>
          <t>P0</t>
        </is>
      </c>
      <c r="J5" s="35" t="inlineStr">
        <is>
          <t>PLANEJADA</t>
        </is>
      </c>
      <c r="K5" s="34" t="inlineStr">
        <is>
          <t>Mar/26</t>
        </is>
      </c>
      <c r="L5" s="34" t="inlineStr">
        <is>
          <t>EVID-MKT-101</t>
        </is>
      </c>
    </row>
    <row r="6">
      <c r="A6" s="34" t="inlineStr">
        <is>
          <t>INIT-MKT-102</t>
        </is>
      </c>
      <c r="B6" s="34" t="inlineStr">
        <is>
          <t>Calendario de feiras e eventos (envelope R$ 500K)</t>
        </is>
      </c>
      <c r="C6" s="35" t="inlineStr">
        <is>
          <t>M1 - Monetizacao</t>
        </is>
      </c>
      <c r="D6" s="35" t="inlineStr">
        <is>
          <t>P2</t>
        </is>
      </c>
      <c r="E6" s="35" t="inlineStr">
        <is>
          <t>P2.S1</t>
        </is>
      </c>
      <c r="F6" s="34" t="inlineStr">
        <is>
          <t>P2.x</t>
        </is>
      </c>
      <c r="G6" s="35" t="inlineStr">
        <is>
          <t>OKR-P2</t>
        </is>
      </c>
      <c r="H6" s="35" t="inlineStr">
        <is>
          <t>COM</t>
        </is>
      </c>
      <c r="I6" s="35" t="inlineStr">
        <is>
          <t>P0</t>
        </is>
      </c>
      <c r="J6" s="35" t="inlineStr">
        <is>
          <t>PLANEJADA</t>
        </is>
      </c>
      <c r="K6" s="34" t="inlineStr">
        <is>
          <t>Mar/26</t>
        </is>
      </c>
      <c r="L6" s="34" t="inlineStr">
        <is>
          <t>EVID-MKT-102</t>
        </is>
      </c>
    </row>
    <row r="7">
      <c r="A7" s="34" t="inlineStr">
        <is>
          <t>INIT-MKT-104</t>
        </is>
      </c>
      <c r="B7" s="34" t="inlineStr">
        <is>
          <t>Pacote mensal de prova de valor (co-exec P&amp;D/CS)</t>
        </is>
      </c>
      <c r="C7" s="35" t="inlineStr">
        <is>
          <t>M1 - Monetizacao</t>
        </is>
      </c>
      <c r="D7" s="35" t="inlineStr">
        <is>
          <t>P4</t>
        </is>
      </c>
      <c r="E7" s="35" t="inlineStr">
        <is>
          <t>P4.S2</t>
        </is>
      </c>
      <c r="F7" s="34" t="inlineStr">
        <is>
          <t>P4.1</t>
        </is>
      </c>
      <c r="G7" s="35" t="inlineStr">
        <is>
          <t>OKR-P4</t>
        </is>
      </c>
      <c r="H7" s="35" t="inlineStr">
        <is>
          <t>COM</t>
        </is>
      </c>
      <c r="I7" s="35" t="inlineStr">
        <is>
          <t>P0</t>
        </is>
      </c>
      <c r="J7" s="35" t="inlineStr">
        <is>
          <t>PLANEJADA</t>
        </is>
      </c>
      <c r="K7" s="34" t="inlineStr">
        <is>
          <t>Mar-Jun/26</t>
        </is>
      </c>
      <c r="L7" s="34" t="inlineStr">
        <is>
          <t>EVID-MKT-104</t>
        </is>
      </c>
    </row>
    <row r="8">
      <c r="A8" s="34" t="inlineStr">
        <is>
          <t>INIT-017</t>
        </is>
      </c>
      <c r="B8" s="34" t="inlineStr">
        <is>
          <t>Estrategia de feiras e eventos (envelope MKT)</t>
        </is>
      </c>
      <c r="C8" s="35" t="inlineStr">
        <is>
          <t>M1 - Monetizacao</t>
        </is>
      </c>
      <c r="D8" s="35" t="inlineStr">
        <is>
          <t>P2</t>
        </is>
      </c>
      <c r="E8" s="35" t="inlineStr">
        <is>
          <t>P2.S1</t>
        </is>
      </c>
      <c r="F8" s="34" t="inlineStr">
        <is>
          <t>P2.x</t>
        </is>
      </c>
      <c r="G8" s="35" t="inlineStr">
        <is>
          <t>OKR-P2</t>
        </is>
      </c>
      <c r="H8" s="35" t="inlineStr">
        <is>
          <t>COM</t>
        </is>
      </c>
      <c r="I8" s="35" t="inlineStr">
        <is>
          <t>P1</t>
        </is>
      </c>
      <c r="J8" s="35" t="inlineStr">
        <is>
          <t>PLANEJADA</t>
        </is>
      </c>
      <c r="K8" s="34" t="inlineStr">
        <is>
          <t>Mar-Dez/26</t>
        </is>
      </c>
      <c r="L8" s="34" t="inlineStr">
        <is>
          <t>EVID-2026-017</t>
        </is>
      </c>
    </row>
    <row r="9">
      <c r="A9" s="34" t="inlineStr">
        <is>
          <t>INIT-018</t>
        </is>
      </c>
      <c r="B9" s="34" t="inlineStr">
        <is>
          <t>Campanha 10 anos Techdengue</t>
        </is>
      </c>
      <c r="C9" s="35" t="inlineStr">
        <is>
          <t>M1 - Monetizacao</t>
        </is>
      </c>
      <c r="D9" s="35" t="inlineStr">
        <is>
          <t>P2</t>
        </is>
      </c>
      <c r="E9" s="35" t="inlineStr">
        <is>
          <t>P2.S1</t>
        </is>
      </c>
      <c r="F9" s="34" t="inlineStr">
        <is>
          <t>P2.x</t>
        </is>
      </c>
      <c r="G9" s="35" t="inlineStr">
        <is>
          <t>OKR-P2</t>
        </is>
      </c>
      <c r="H9" s="35" t="inlineStr">
        <is>
          <t>COM</t>
        </is>
      </c>
      <c r="I9" s="35" t="inlineStr">
        <is>
          <t>P1</t>
        </is>
      </c>
      <c r="J9" s="35" t="inlineStr">
        <is>
          <t>PLANEJADA</t>
        </is>
      </c>
      <c r="K9" s="34" t="inlineStr">
        <is>
          <t>Q2/26</t>
        </is>
      </c>
      <c r="L9" s="34" t="inlineStr">
        <is>
          <t>EVID-2026-018</t>
        </is>
      </c>
    </row>
    <row r="10">
      <c r="A10" s="34" t="inlineStr">
        <is>
          <t>INIT-MKT-105</t>
        </is>
      </c>
      <c r="B10" s="34" t="inlineStr">
        <is>
          <t>Campanha 10 anos Techdengue (execucao)</t>
        </is>
      </c>
      <c r="C10" s="35" t="inlineStr">
        <is>
          <t>M1 - Monetizacao</t>
        </is>
      </c>
      <c r="D10" s="35" t="inlineStr">
        <is>
          <t>P2</t>
        </is>
      </c>
      <c r="E10" s="35" t="inlineStr">
        <is>
          <t>P2.S1</t>
        </is>
      </c>
      <c r="F10" s="34" t="inlineStr">
        <is>
          <t>P2.x</t>
        </is>
      </c>
      <c r="G10" s="35" t="inlineStr">
        <is>
          <t>OKR-P2</t>
        </is>
      </c>
      <c r="H10" s="35" t="inlineStr">
        <is>
          <t>COM</t>
        </is>
      </c>
      <c r="I10" s="35" t="inlineStr">
        <is>
          <t>P1</t>
        </is>
      </c>
      <c r="J10" s="35" t="inlineStr">
        <is>
          <t>PLANEJADA</t>
        </is>
      </c>
      <c r="K10" s="34" t="inlineStr">
        <is>
          <t>Q2/26</t>
        </is>
      </c>
      <c r="L10" s="34" t="inlineStr">
        <is>
          <t>EVID-MKT-105</t>
        </is>
      </c>
    </row>
    <row r="11">
      <c r="A11" s="34" t="inlineStr">
        <is>
          <t>INIT-MKT-106</t>
        </is>
      </c>
      <c r="B11" s="34" t="inlineStr">
        <is>
          <t>Material de posicionamento institucional atualizado</t>
        </is>
      </c>
      <c r="C11" s="35" t="inlineStr">
        <is>
          <t>M1 - Monetizacao</t>
        </is>
      </c>
      <c r="D11" s="35" t="inlineStr">
        <is>
          <t>P2</t>
        </is>
      </c>
      <c r="E11" s="35" t="inlineStr">
        <is>
          <t>P2.S4</t>
        </is>
      </c>
      <c r="F11" s="34" t="inlineStr">
        <is>
          <t>P2.5</t>
        </is>
      </c>
      <c r="G11" s="35" t="inlineStr">
        <is>
          <t>OKR-P2</t>
        </is>
      </c>
      <c r="H11" s="35" t="inlineStr">
        <is>
          <t>COM</t>
        </is>
      </c>
      <c r="I11" s="35" t="inlineStr">
        <is>
          <t>P1</t>
        </is>
      </c>
      <c r="J11" s="35" t="inlineStr">
        <is>
          <t>PLANEJADA</t>
        </is>
      </c>
      <c r="K11" s="34" t="inlineStr">
        <is>
          <t>Abr-Jun/26</t>
        </is>
      </c>
      <c r="L11" s="34" t="inlineStr">
        <is>
          <t>EVID-MKT-106</t>
        </is>
      </c>
    </row>
    <row r="12">
      <c r="A12" s="34" t="inlineStr">
        <is>
          <t>INIT-MKT-107</t>
        </is>
      </c>
      <c r="B12" s="34" t="inlineStr">
        <is>
          <t>Estrategia de conteudo digital (blog, redes, relatorios)</t>
        </is>
      </c>
      <c r="C12" s="35" t="inlineStr">
        <is>
          <t>M1 - Monetizacao</t>
        </is>
      </c>
      <c r="D12" s="35" t="inlineStr">
        <is>
          <t>P4</t>
        </is>
      </c>
      <c r="E12" s="35" t="inlineStr">
        <is>
          <t>P4.S2</t>
        </is>
      </c>
      <c r="F12" s="34" t="inlineStr">
        <is>
          <t>P4.1</t>
        </is>
      </c>
      <c r="G12" s="35" t="inlineStr">
        <is>
          <t>OKR-P4</t>
        </is>
      </c>
      <c r="H12" s="35" t="inlineStr">
        <is>
          <t>MET</t>
        </is>
      </c>
      <c r="I12" s="35" t="inlineStr">
        <is>
          <t>P1</t>
        </is>
      </c>
      <c r="J12" s="35" t="inlineStr">
        <is>
          <t>PLANEJADA</t>
        </is>
      </c>
      <c r="K12" s="34" t="inlineStr">
        <is>
          <t>Abr-Dez/26</t>
        </is>
      </c>
      <c r="L12" s="34" t="inlineStr">
        <is>
          <t>EVID-MKT-107</t>
        </is>
      </c>
    </row>
    <row r="13">
      <c r="A13" s="34" t="inlineStr">
        <is>
          <t>INIT-MKT-103</t>
        </is>
      </c>
      <c r="B13" s="34" t="inlineStr">
        <is>
          <t>Contratacao Marketing #1 e #2</t>
        </is>
      </c>
      <c r="C13" s="35" t="inlineStr">
        <is>
          <t>M5 - Pessoas</t>
        </is>
      </c>
      <c r="D13" s="35" t="inlineStr">
        <is>
          <t>P5</t>
        </is>
      </c>
      <c r="E13" s="35" t="inlineStr">
        <is>
          <t>P5.S2</t>
        </is>
      </c>
      <c r="F13" s="34" t="inlineStr">
        <is>
          <t>P5.4</t>
        </is>
      </c>
      <c r="G13" s="35" t="inlineStr">
        <is>
          <t>OKR-P5</t>
        </is>
      </c>
      <c r="H13" s="35" t="inlineStr">
        <is>
          <t>ORG</t>
        </is>
      </c>
      <c r="I13" s="35" t="inlineStr">
        <is>
          <t>P0</t>
        </is>
      </c>
      <c r="J13" s="35" t="inlineStr">
        <is>
          <t>PLANEJADA</t>
        </is>
      </c>
      <c r="K13" s="34" t="inlineStr">
        <is>
          <t>Mar-Abr/26</t>
        </is>
      </c>
      <c r="L13" s="34" t="inlineStr">
        <is>
          <t>EVID-MKT-103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2026-03-23T16:55:55Z</dcterms:created>
  <dcterms:modified xsi:type="dcterms:W3CDTF">2026-03-23T16:55:55Z</dcterms:modified>
</cp:coreProperties>
</file>